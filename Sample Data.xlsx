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ownloads\"/>
    </mc:Choice>
  </mc:AlternateContent>
  <xr:revisionPtr revIDLastSave="0" documentId="13_ncr:1_{0B3C6729-8B9A-4F3D-A223-E825F9E8F4A9}"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ivots" sheetId="10" r:id="rId2"/>
    <sheet name="Dashboard" sheetId="2" r:id="rId3"/>
  </sheets>
  <definedNames>
    <definedName name="_xlcn.WorksheetConnection_ready_dashboard.xlsxTable21" hidden="1">Table2[]</definedName>
    <definedName name="Slicer_Alert">#N/A</definedName>
    <definedName name="Slicer_Batch_ID">#N/A</definedName>
    <definedName name="Timeline_Date">#N/A</definedName>
  </definedNames>
  <calcPr calcId="191029"/>
  <pivotCaches>
    <pivotCache cacheId="1995" r:id="rId4"/>
    <pivotCache cacheId="1998" r:id="rId5"/>
    <pivotCache cacheId="2001" r:id="rId6"/>
    <pivotCache cacheId="2004" r:id="rId7"/>
    <pivotCache cacheId="2007" r:id="rId8"/>
    <pivotCache cacheId="2010" r:id="rId9"/>
    <pivotCache cacheId="2013" r:id="rId10"/>
  </pivotCaches>
  <extLst>
    <ext xmlns:x14="http://schemas.microsoft.com/office/spreadsheetml/2009/9/main" uri="{876F7934-8845-4945-9796-88D515C7AA90}">
      <x14:pivotCaches>
        <pivotCache cacheId="12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5"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FCE2AD5D-F65C-4FA6-A056-5C36A1767C68}">
      <x15:dataModel>
        <x15:modelTables>
          <x15:modelTable id="Table2" name="Table2" connection="WorksheetConnection_ready_dashboard.xlsx!Table2"/>
        </x15:modelTables>
        <x15:extLst>
          <ext xmlns:x16="http://schemas.microsoft.com/office/spreadsheetml/2014/11/main" uri="{9835A34E-60A6-4A7C-AAB8-D5F71C897F49}">
            <x16:modelTimeGroupings>
              <x16:modelTimeGrouping tableName="Table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4" i="1"/>
  <c r="I3"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J183" i="1"/>
  <c r="K183" i="1"/>
  <c r="L183" i="1"/>
  <c r="M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131" i="1"/>
  <c r="L131" i="1"/>
  <c r="K131" i="1"/>
  <c r="J131" i="1"/>
  <c r="M56" i="1"/>
  <c r="L56" i="1"/>
  <c r="K56" i="1"/>
  <c r="J56" i="1"/>
  <c r="M73" i="1"/>
  <c r="L73" i="1"/>
  <c r="K73" i="1"/>
  <c r="J73" i="1"/>
  <c r="M6" i="1"/>
  <c r="L6" i="1"/>
  <c r="K6" i="1"/>
  <c r="J6" i="1"/>
  <c r="M82" i="1"/>
  <c r="L82" i="1"/>
  <c r="K82" i="1"/>
  <c r="J82" i="1"/>
  <c r="M121" i="1"/>
  <c r="L121" i="1"/>
  <c r="K121" i="1"/>
  <c r="J121" i="1"/>
  <c r="M126" i="1"/>
  <c r="L126" i="1"/>
  <c r="K126" i="1"/>
  <c r="J126" i="1"/>
  <c r="M107" i="1"/>
  <c r="L107" i="1"/>
  <c r="K107" i="1"/>
  <c r="J107" i="1"/>
  <c r="M120" i="1"/>
  <c r="L120" i="1"/>
  <c r="K120" i="1"/>
  <c r="J120" i="1"/>
  <c r="M81" i="1"/>
  <c r="L81" i="1"/>
  <c r="K81" i="1"/>
  <c r="J81" i="1"/>
  <c r="M145" i="1"/>
  <c r="L145" i="1"/>
  <c r="K145" i="1"/>
  <c r="J145" i="1"/>
  <c r="M100" i="1"/>
  <c r="L100" i="1"/>
  <c r="K100" i="1"/>
  <c r="J100" i="1"/>
  <c r="M80" i="1"/>
  <c r="L80" i="1"/>
  <c r="K80" i="1"/>
  <c r="J80" i="1"/>
  <c r="M10" i="1"/>
  <c r="L10" i="1"/>
  <c r="K10" i="1"/>
  <c r="J10" i="1"/>
  <c r="M99" i="1"/>
  <c r="L99" i="1"/>
  <c r="K99" i="1"/>
  <c r="J99" i="1"/>
  <c r="M158" i="1"/>
  <c r="L158" i="1"/>
  <c r="K158" i="1"/>
  <c r="J158" i="1"/>
  <c r="M130" i="1"/>
  <c r="L130" i="1"/>
  <c r="K130" i="1"/>
  <c r="J130" i="1"/>
  <c r="M103" i="1"/>
  <c r="L103" i="1"/>
  <c r="K103" i="1"/>
  <c r="J103" i="1"/>
  <c r="M63" i="1"/>
  <c r="L63" i="1"/>
  <c r="K63" i="1"/>
  <c r="J63" i="1"/>
  <c r="M19" i="1"/>
  <c r="L19" i="1"/>
  <c r="K19" i="1"/>
  <c r="J19" i="1"/>
  <c r="M40" i="1"/>
  <c r="L40" i="1"/>
  <c r="K40" i="1"/>
  <c r="J40" i="1"/>
  <c r="M48" i="1"/>
  <c r="L48" i="1"/>
  <c r="K48" i="1"/>
  <c r="J48" i="1"/>
  <c r="M114" i="1"/>
  <c r="L114" i="1"/>
  <c r="K114" i="1"/>
  <c r="J114" i="1"/>
  <c r="M98" i="1"/>
  <c r="L98" i="1"/>
  <c r="K98" i="1"/>
  <c r="J98" i="1"/>
  <c r="M129" i="1"/>
  <c r="L129" i="1"/>
  <c r="K129" i="1"/>
  <c r="J129" i="1"/>
  <c r="M128" i="1"/>
  <c r="L128" i="1"/>
  <c r="K128" i="1"/>
  <c r="J128" i="1"/>
  <c r="M55" i="1"/>
  <c r="L55" i="1"/>
  <c r="K55" i="1"/>
  <c r="J55" i="1"/>
  <c r="M86" i="1"/>
  <c r="L86" i="1"/>
  <c r="K86" i="1"/>
  <c r="J86" i="1"/>
  <c r="M32" i="1"/>
  <c r="L32" i="1"/>
  <c r="K32" i="1"/>
  <c r="J32" i="1"/>
  <c r="M173" i="1"/>
  <c r="L173" i="1"/>
  <c r="K173" i="1"/>
  <c r="J173" i="1"/>
  <c r="M62" i="1"/>
  <c r="L62" i="1"/>
  <c r="K62" i="1"/>
  <c r="J62" i="1"/>
  <c r="M5" i="1"/>
  <c r="L5" i="1"/>
  <c r="K5" i="1"/>
  <c r="J5" i="1"/>
  <c r="M125" i="1"/>
  <c r="L125" i="1"/>
  <c r="K125" i="1"/>
  <c r="J125" i="1"/>
  <c r="M18" i="1"/>
  <c r="L18" i="1"/>
  <c r="K18" i="1"/>
  <c r="J18" i="1"/>
  <c r="M17" i="1"/>
  <c r="L17" i="1"/>
  <c r="K17" i="1"/>
  <c r="J17" i="1"/>
  <c r="M157" i="1"/>
  <c r="L157" i="1"/>
  <c r="K157" i="1"/>
  <c r="J157" i="1"/>
  <c r="M119" i="1"/>
  <c r="L119" i="1"/>
  <c r="K119" i="1"/>
  <c r="J119" i="1"/>
  <c r="M151" i="1"/>
  <c r="L151" i="1"/>
  <c r="K151" i="1"/>
  <c r="J151" i="1"/>
  <c r="M68" i="1"/>
  <c r="L68" i="1"/>
  <c r="K68" i="1"/>
  <c r="J68" i="1"/>
  <c r="M24" i="1"/>
  <c r="L24" i="1"/>
  <c r="K24" i="1"/>
  <c r="J24" i="1"/>
  <c r="M47" i="1"/>
  <c r="L47" i="1"/>
  <c r="K47" i="1"/>
  <c r="J47" i="1"/>
  <c r="M16" i="1"/>
  <c r="L16" i="1"/>
  <c r="K16" i="1"/>
  <c r="J16" i="1"/>
  <c r="M23" i="1"/>
  <c r="L23" i="1"/>
  <c r="K23" i="1"/>
  <c r="J23" i="1"/>
  <c r="M112" i="1"/>
  <c r="L112" i="1"/>
  <c r="K112" i="1"/>
  <c r="J112" i="1"/>
  <c r="M90" i="1"/>
  <c r="L90" i="1"/>
  <c r="K90" i="1"/>
  <c r="J90" i="1"/>
  <c r="M54" i="1"/>
  <c r="L54" i="1"/>
  <c r="K54" i="1"/>
  <c r="J54" i="1"/>
  <c r="M180" i="1"/>
  <c r="L180" i="1"/>
  <c r="K180" i="1"/>
  <c r="J180" i="1"/>
  <c r="M46" i="1"/>
  <c r="L46" i="1"/>
  <c r="K46" i="1"/>
  <c r="J46" i="1"/>
  <c r="M61" i="1"/>
  <c r="L61" i="1"/>
  <c r="K61" i="1"/>
  <c r="J61" i="1"/>
  <c r="M150" i="1"/>
  <c r="L150" i="1"/>
  <c r="K150" i="1"/>
  <c r="J150" i="1"/>
  <c r="M29" i="1"/>
  <c r="L29" i="1"/>
  <c r="K29" i="1"/>
  <c r="J29" i="1"/>
  <c r="M162" i="1"/>
  <c r="L162" i="1"/>
  <c r="K162" i="1"/>
  <c r="J162" i="1"/>
  <c r="M165" i="1"/>
  <c r="L165" i="1"/>
  <c r="K165" i="1"/>
  <c r="J165" i="1"/>
  <c r="M135" i="1"/>
  <c r="L135" i="1"/>
  <c r="K135" i="1"/>
  <c r="J135" i="1"/>
  <c r="M106" i="1"/>
  <c r="L106" i="1"/>
  <c r="K106" i="1"/>
  <c r="J106" i="1"/>
  <c r="M118" i="1"/>
  <c r="L118" i="1"/>
  <c r="K118" i="1"/>
  <c r="J118" i="1"/>
  <c r="M172" i="1"/>
  <c r="L172" i="1"/>
  <c r="K172" i="1"/>
  <c r="J172" i="1"/>
  <c r="M15" i="1"/>
  <c r="L15" i="1"/>
  <c r="K15" i="1"/>
  <c r="J15" i="1"/>
  <c r="M79" i="1"/>
  <c r="L79" i="1"/>
  <c r="K79" i="1"/>
  <c r="J79" i="1"/>
  <c r="M124" i="1"/>
  <c r="L124" i="1"/>
  <c r="K124" i="1"/>
  <c r="J124" i="1"/>
  <c r="M89" i="1"/>
  <c r="L89" i="1"/>
  <c r="K89" i="1"/>
  <c r="J89" i="1"/>
  <c r="M4" i="1"/>
  <c r="L4" i="1"/>
  <c r="K4" i="1"/>
  <c r="J4" i="1"/>
  <c r="M144" i="1"/>
  <c r="L144" i="1"/>
  <c r="K144" i="1"/>
  <c r="J144" i="1"/>
  <c r="M156" i="1"/>
  <c r="L156" i="1"/>
  <c r="K156" i="1"/>
  <c r="J156" i="1"/>
  <c r="M14" i="1"/>
  <c r="L14" i="1"/>
  <c r="K14" i="1"/>
  <c r="J14" i="1"/>
  <c r="M123" i="1"/>
  <c r="L123" i="1"/>
  <c r="K123" i="1"/>
  <c r="J123" i="1"/>
  <c r="M60" i="1"/>
  <c r="L60" i="1"/>
  <c r="K60" i="1"/>
  <c r="J60" i="1"/>
  <c r="M88" i="1"/>
  <c r="L88" i="1"/>
  <c r="K88" i="1"/>
  <c r="J88" i="1"/>
  <c r="M113" i="1"/>
  <c r="L113" i="1"/>
  <c r="K113" i="1"/>
  <c r="J113" i="1"/>
  <c r="M39" i="1"/>
  <c r="L39" i="1"/>
  <c r="K39" i="1"/>
  <c r="J39" i="1"/>
  <c r="M154" i="1"/>
  <c r="L154" i="1"/>
  <c r="K154" i="1"/>
  <c r="J154" i="1"/>
  <c r="M140" i="1"/>
  <c r="L140" i="1"/>
  <c r="K140" i="1"/>
  <c r="J140" i="1"/>
  <c r="M38" i="1"/>
  <c r="L38" i="1"/>
  <c r="K38" i="1"/>
  <c r="J38" i="1"/>
  <c r="M37" i="1"/>
  <c r="L37" i="1"/>
  <c r="K37" i="1"/>
  <c r="J37" i="1"/>
  <c r="M134" i="1"/>
  <c r="L134" i="1"/>
  <c r="K134" i="1"/>
  <c r="J134" i="1"/>
  <c r="M78" i="1"/>
  <c r="L78" i="1"/>
  <c r="K78" i="1"/>
  <c r="J78" i="1"/>
  <c r="M97" i="1"/>
  <c r="L97" i="1"/>
  <c r="K97" i="1"/>
  <c r="J97" i="1"/>
  <c r="M155" i="1"/>
  <c r="L155" i="1"/>
  <c r="K155" i="1"/>
  <c r="J155" i="1"/>
  <c r="M102" i="1"/>
  <c r="L102" i="1"/>
  <c r="K102" i="1"/>
  <c r="J102" i="1"/>
  <c r="M161" i="1"/>
  <c r="L161" i="1"/>
  <c r="K161" i="1"/>
  <c r="J161" i="1"/>
  <c r="M153" i="1"/>
  <c r="L153" i="1"/>
  <c r="K153" i="1"/>
  <c r="J153" i="1"/>
  <c r="M3" i="1"/>
  <c r="L3" i="1"/>
  <c r="K3" i="1"/>
  <c r="J3" i="1"/>
  <c r="M117" i="1"/>
  <c r="L117" i="1"/>
  <c r="K117" i="1"/>
  <c r="J117" i="1"/>
  <c r="M105" i="1"/>
  <c r="L105" i="1"/>
  <c r="K105" i="1"/>
  <c r="J105" i="1"/>
  <c r="M92" i="1"/>
  <c r="L92" i="1"/>
  <c r="K92" i="1"/>
  <c r="J92" i="1"/>
  <c r="M36" i="1"/>
  <c r="L36" i="1"/>
  <c r="K36" i="1"/>
  <c r="J36" i="1"/>
  <c r="M127" i="1"/>
  <c r="L127" i="1"/>
  <c r="K127" i="1"/>
  <c r="J127" i="1"/>
  <c r="M139" i="1"/>
  <c r="L139" i="1"/>
  <c r="K139" i="1"/>
  <c r="J139" i="1"/>
  <c r="M179" i="1"/>
  <c r="L179" i="1"/>
  <c r="K179" i="1"/>
  <c r="J179" i="1"/>
  <c r="M96" i="1"/>
  <c r="L96" i="1"/>
  <c r="K96" i="1"/>
  <c r="J96" i="1"/>
  <c r="M178" i="1"/>
  <c r="L178" i="1"/>
  <c r="K178" i="1"/>
  <c r="J178" i="1"/>
  <c r="M31" i="1"/>
  <c r="L31" i="1"/>
  <c r="K31" i="1"/>
  <c r="J31" i="1"/>
  <c r="M171" i="1"/>
  <c r="L171" i="1"/>
  <c r="K171" i="1"/>
  <c r="J171" i="1"/>
  <c r="M85" i="1"/>
  <c r="L85" i="1"/>
  <c r="K85" i="1"/>
  <c r="J85" i="1"/>
  <c r="M149" i="1"/>
  <c r="L149" i="1"/>
  <c r="K149" i="1"/>
  <c r="J149" i="1"/>
  <c r="M67" i="1"/>
  <c r="L67" i="1"/>
  <c r="K67" i="1"/>
  <c r="J67" i="1"/>
  <c r="M45" i="1"/>
  <c r="L45" i="1"/>
  <c r="K45" i="1"/>
  <c r="J45" i="1"/>
  <c r="M160" i="1"/>
  <c r="L160" i="1"/>
  <c r="K160" i="1"/>
  <c r="J160" i="1"/>
  <c r="M77" i="1"/>
  <c r="L77" i="1"/>
  <c r="K77" i="1"/>
  <c r="J77" i="1"/>
  <c r="M66" i="1"/>
  <c r="L66" i="1"/>
  <c r="K66" i="1"/>
  <c r="J66" i="1"/>
  <c r="M84" i="1"/>
  <c r="L84" i="1"/>
  <c r="K84" i="1"/>
  <c r="J84" i="1"/>
  <c r="M116" i="1"/>
  <c r="L116" i="1"/>
  <c r="K116" i="1"/>
  <c r="J116" i="1"/>
  <c r="M122" i="1"/>
  <c r="L122" i="1"/>
  <c r="K122" i="1"/>
  <c r="J122" i="1"/>
  <c r="M44" i="1"/>
  <c r="L44" i="1"/>
  <c r="K44" i="1"/>
  <c r="J44" i="1"/>
  <c r="M30" i="1"/>
  <c r="L30" i="1"/>
  <c r="K30" i="1"/>
  <c r="J30" i="1"/>
  <c r="M138" i="1"/>
  <c r="L138" i="1"/>
  <c r="K138" i="1"/>
  <c r="J138" i="1"/>
  <c r="M13" i="1"/>
  <c r="L13" i="1"/>
  <c r="K13" i="1"/>
  <c r="J13" i="1"/>
  <c r="M95" i="1"/>
  <c r="L95" i="1"/>
  <c r="K95" i="1"/>
  <c r="J95" i="1"/>
  <c r="M133" i="1"/>
  <c r="L133" i="1"/>
  <c r="K133" i="1"/>
  <c r="J133" i="1"/>
  <c r="M22" i="1"/>
  <c r="L22" i="1"/>
  <c r="K22" i="1"/>
  <c r="J22" i="1"/>
  <c r="M148" i="1"/>
  <c r="L148" i="1"/>
  <c r="K148" i="1"/>
  <c r="J148" i="1"/>
  <c r="M28" i="1"/>
  <c r="L28" i="1"/>
  <c r="K28" i="1"/>
  <c r="J28" i="1"/>
  <c r="M59" i="1"/>
  <c r="L59" i="1"/>
  <c r="K59" i="1"/>
  <c r="J59" i="1"/>
  <c r="M21" i="1"/>
  <c r="L21" i="1"/>
  <c r="K21" i="1"/>
  <c r="J21" i="1"/>
  <c r="M115" i="1"/>
  <c r="L115" i="1"/>
  <c r="K115" i="1"/>
  <c r="J115" i="1"/>
  <c r="M182" i="1"/>
  <c r="L182" i="1"/>
  <c r="K182" i="1"/>
  <c r="J182" i="1"/>
  <c r="M72" i="1"/>
  <c r="L72" i="1"/>
  <c r="K72" i="1"/>
  <c r="J72" i="1"/>
  <c r="M132" i="1"/>
  <c r="L132" i="1"/>
  <c r="K132" i="1"/>
  <c r="J132" i="1"/>
  <c r="M177" i="1"/>
  <c r="L177" i="1"/>
  <c r="K177" i="1"/>
  <c r="J177" i="1"/>
  <c r="M170" i="1"/>
  <c r="L170" i="1"/>
  <c r="K170" i="1"/>
  <c r="J170" i="1"/>
  <c r="M94" i="1"/>
  <c r="L94" i="1"/>
  <c r="K94" i="1"/>
  <c r="J94" i="1"/>
  <c r="M143" i="1"/>
  <c r="L143" i="1"/>
  <c r="K143" i="1"/>
  <c r="J143" i="1"/>
  <c r="M42" i="1"/>
  <c r="L42" i="1"/>
  <c r="K42" i="1"/>
  <c r="J42" i="1"/>
  <c r="M91" i="1"/>
  <c r="L91" i="1"/>
  <c r="K91" i="1"/>
  <c r="J91" i="1"/>
  <c r="M27" i="1"/>
  <c r="L27" i="1"/>
  <c r="K27" i="1"/>
  <c r="J27" i="1"/>
  <c r="M70" i="1"/>
  <c r="L70" i="1"/>
  <c r="K70" i="1"/>
  <c r="J70" i="1"/>
  <c r="M147" i="1"/>
  <c r="L147" i="1"/>
  <c r="K147" i="1"/>
  <c r="J147" i="1"/>
  <c r="M181" i="1"/>
  <c r="L181" i="1"/>
  <c r="K181" i="1"/>
  <c r="J181" i="1"/>
  <c r="M111" i="1"/>
  <c r="L111" i="1"/>
  <c r="K111" i="1"/>
  <c r="J111" i="1"/>
  <c r="M53" i="1"/>
  <c r="L53" i="1"/>
  <c r="K53" i="1"/>
  <c r="J53" i="1"/>
  <c r="M83" i="1"/>
  <c r="L83" i="1"/>
  <c r="K83" i="1"/>
  <c r="J83" i="1"/>
  <c r="M52" i="1"/>
  <c r="L52" i="1"/>
  <c r="K52" i="1"/>
  <c r="J52" i="1"/>
  <c r="M176" i="1"/>
  <c r="L176" i="1"/>
  <c r="K176" i="1"/>
  <c r="J176" i="1"/>
  <c r="M110" i="1"/>
  <c r="L110" i="1"/>
  <c r="K110" i="1"/>
  <c r="J110" i="1"/>
  <c r="M35" i="1"/>
  <c r="L35" i="1"/>
  <c r="K35" i="1"/>
  <c r="J35" i="1"/>
  <c r="M87" i="1"/>
  <c r="L87" i="1"/>
  <c r="K87" i="1"/>
  <c r="J87" i="1"/>
  <c r="M58" i="1"/>
  <c r="L58" i="1"/>
  <c r="K58" i="1"/>
  <c r="J58" i="1"/>
  <c r="M169" i="1"/>
  <c r="L169" i="1"/>
  <c r="K169" i="1"/>
  <c r="J169" i="1"/>
  <c r="M76" i="1"/>
  <c r="L76" i="1"/>
  <c r="K76" i="1"/>
  <c r="J76" i="1"/>
  <c r="M26" i="1"/>
  <c r="L26" i="1"/>
  <c r="K26" i="1"/>
  <c r="J26" i="1"/>
  <c r="M109" i="1"/>
  <c r="L109" i="1"/>
  <c r="K109" i="1"/>
  <c r="J109" i="1"/>
  <c r="M104" i="1"/>
  <c r="L104" i="1"/>
  <c r="K104" i="1"/>
  <c r="J104" i="1"/>
  <c r="M101" i="1"/>
  <c r="L101" i="1"/>
  <c r="K101" i="1"/>
  <c r="J101" i="1"/>
  <c r="M175" i="1"/>
  <c r="L175" i="1"/>
  <c r="K175" i="1"/>
  <c r="J175" i="1"/>
  <c r="M152" i="1"/>
  <c r="L152" i="1"/>
  <c r="K152" i="1"/>
  <c r="J152" i="1"/>
  <c r="M43" i="1"/>
  <c r="L43" i="1"/>
  <c r="K43" i="1"/>
  <c r="J43" i="1"/>
  <c r="M34" i="1"/>
  <c r="L34" i="1"/>
  <c r="K34" i="1"/>
  <c r="J34" i="1"/>
  <c r="M168" i="1"/>
  <c r="L168" i="1"/>
  <c r="K168" i="1"/>
  <c r="J168" i="1"/>
  <c r="M137" i="1"/>
  <c r="L137" i="1"/>
  <c r="K137" i="1"/>
  <c r="J137" i="1"/>
  <c r="M51" i="1"/>
  <c r="L51" i="1"/>
  <c r="K51" i="1"/>
  <c r="J51" i="1"/>
  <c r="M12" i="1"/>
  <c r="L12" i="1"/>
  <c r="K12" i="1"/>
  <c r="J12" i="1"/>
  <c r="M164" i="1"/>
  <c r="L164" i="1"/>
  <c r="K164" i="1"/>
  <c r="J164" i="1"/>
  <c r="M159" i="1"/>
  <c r="L159" i="1"/>
  <c r="K159" i="1"/>
  <c r="J159" i="1"/>
  <c r="M142" i="1"/>
  <c r="L142" i="1"/>
  <c r="K142" i="1"/>
  <c r="J142" i="1"/>
  <c r="M141" i="1"/>
  <c r="L141" i="1"/>
  <c r="K141" i="1"/>
  <c r="J141" i="1"/>
  <c r="M20" i="1"/>
  <c r="L20" i="1"/>
  <c r="K20" i="1"/>
  <c r="J20" i="1"/>
  <c r="M71" i="1"/>
  <c r="L71" i="1"/>
  <c r="K71" i="1"/>
  <c r="J71" i="1"/>
  <c r="M41" i="1"/>
  <c r="L41" i="1"/>
  <c r="K41" i="1"/>
  <c r="J41" i="1"/>
  <c r="M9" i="1"/>
  <c r="L9" i="1"/>
  <c r="K9" i="1"/>
  <c r="J9" i="1"/>
  <c r="M50" i="1"/>
  <c r="L50" i="1"/>
  <c r="K50" i="1"/>
  <c r="J50" i="1"/>
  <c r="M146" i="1"/>
  <c r="L146" i="1"/>
  <c r="K146" i="1"/>
  <c r="J146" i="1"/>
  <c r="M174" i="1"/>
  <c r="L174" i="1"/>
  <c r="K174" i="1"/>
  <c r="J174" i="1"/>
  <c r="M65" i="1"/>
  <c r="L65" i="1"/>
  <c r="K65" i="1"/>
  <c r="J65" i="1"/>
  <c r="M2" i="1"/>
  <c r="L2" i="1"/>
  <c r="K2" i="1"/>
  <c r="J2" i="1"/>
  <c r="M163" i="1"/>
  <c r="L163" i="1"/>
  <c r="K163" i="1"/>
  <c r="J163" i="1"/>
  <c r="M8" i="1"/>
  <c r="L8" i="1"/>
  <c r="K8" i="1"/>
  <c r="J8" i="1"/>
  <c r="M75" i="1"/>
  <c r="L75" i="1"/>
  <c r="K75" i="1"/>
  <c r="J75" i="1"/>
  <c r="M25" i="1"/>
  <c r="L25" i="1"/>
  <c r="K25" i="1"/>
  <c r="J25" i="1"/>
  <c r="M11" i="1"/>
  <c r="L11" i="1"/>
  <c r="K11" i="1"/>
  <c r="J11" i="1"/>
  <c r="M108" i="1"/>
  <c r="L108" i="1"/>
  <c r="K108" i="1"/>
  <c r="J108" i="1"/>
  <c r="M33" i="1"/>
  <c r="L33" i="1"/>
  <c r="K33" i="1"/>
  <c r="J33" i="1"/>
  <c r="M74" i="1"/>
  <c r="L74" i="1"/>
  <c r="K74" i="1"/>
  <c r="J74" i="1"/>
  <c r="M136" i="1"/>
  <c r="L136" i="1"/>
  <c r="K136" i="1"/>
  <c r="J136" i="1"/>
  <c r="M57" i="1"/>
  <c r="L57" i="1"/>
  <c r="K57" i="1"/>
  <c r="J57" i="1"/>
  <c r="M7" i="1"/>
  <c r="L7" i="1"/>
  <c r="K7" i="1"/>
  <c r="J7" i="1"/>
  <c r="M93" i="1"/>
  <c r="L93" i="1"/>
  <c r="K93" i="1"/>
  <c r="J93" i="1"/>
  <c r="M64" i="1"/>
  <c r="L64" i="1"/>
  <c r="K64" i="1"/>
  <c r="J64" i="1"/>
  <c r="M167" i="1"/>
  <c r="L167" i="1"/>
  <c r="K167" i="1"/>
  <c r="J167" i="1"/>
  <c r="M166" i="1"/>
  <c r="L166" i="1"/>
  <c r="K166" i="1"/>
  <c r="J166" i="1"/>
  <c r="M49" i="1"/>
  <c r="L49" i="1"/>
  <c r="K49" i="1"/>
  <c r="J49" i="1"/>
  <c r="M69" i="1"/>
  <c r="L69" i="1"/>
  <c r="K69" i="1"/>
  <c r="J69" i="1"/>
  <c r="C80" i="10"/>
  <c r="C77" i="10"/>
  <c r="C74" i="10"/>
  <c r="C7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7E726-3652-4ADC-93CF-563C646BDF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054950-7319-4E34-B983-AA5022089869}" name="WorksheetConnection_ready_dashboard.xlsx!Table2" type="102" refreshedVersion="8" minRefreshableVersion="5">
    <extLst>
      <ext xmlns:x15="http://schemas.microsoft.com/office/spreadsheetml/2010/11/main" uri="{DE250136-89BD-433C-8126-D09CA5730AF9}">
        <x15:connection id="Table2" autoDelete="1">
          <x15:rangePr sourceName="_xlcn.WorksheetConnection_ready_dashboard.xlsxTable21"/>
        </x15:connection>
      </ext>
    </extLst>
  </connection>
</connections>
</file>

<file path=xl/sharedStrings.xml><?xml version="1.0" encoding="utf-8"?>
<sst xmlns="http://schemas.openxmlformats.org/spreadsheetml/2006/main" count="1178" uniqueCount="77">
  <si>
    <t>Batch_ID</t>
  </si>
  <si>
    <t>Date</t>
  </si>
  <si>
    <t>Total_Units</t>
  </si>
  <si>
    <t>Successful_Output</t>
  </si>
  <si>
    <t>Mortality_Count</t>
  </si>
  <si>
    <t>Contamination_Count</t>
  </si>
  <si>
    <t>Hatch_Rate</t>
  </si>
  <si>
    <t>Mortality_Rate</t>
  </si>
  <si>
    <t>Contamination_Rate</t>
  </si>
  <si>
    <t>Alert</t>
  </si>
  <si>
    <t>Row Labels</t>
  </si>
  <si>
    <t>Grand Total</t>
  </si>
  <si>
    <t>Sum of Hatch_Rate</t>
  </si>
  <si>
    <t>Month</t>
  </si>
  <si>
    <t>Jan</t>
  </si>
  <si>
    <t>Feb</t>
  </si>
  <si>
    <t>Mar</t>
  </si>
  <si>
    <t>Apr</t>
  </si>
  <si>
    <t>May</t>
  </si>
  <si>
    <t>Jun</t>
  </si>
  <si>
    <t>Jul</t>
  </si>
  <si>
    <t>Aug</t>
  </si>
  <si>
    <t>Sep</t>
  </si>
  <si>
    <t>Oct</t>
  </si>
  <si>
    <t>Nov</t>
  </si>
  <si>
    <t>Dec</t>
  </si>
  <si>
    <t>Blast_Count</t>
  </si>
  <si>
    <t>BATCH_1</t>
  </si>
  <si>
    <t>BATCH_2</t>
  </si>
  <si>
    <t>BATCH_3</t>
  </si>
  <si>
    <t>BATCH_4</t>
  </si>
  <si>
    <t>BATCH_5</t>
  </si>
  <si>
    <t>BATCH_6</t>
  </si>
  <si>
    <t>BATCH_7</t>
  </si>
  <si>
    <t>BATCH_8</t>
  </si>
  <si>
    <t>BATCH_9</t>
  </si>
  <si>
    <t>BATCH_10</t>
  </si>
  <si>
    <t>BATCH_11</t>
  </si>
  <si>
    <t>BATCH_12</t>
  </si>
  <si>
    <t>M1A</t>
  </si>
  <si>
    <t>M1B</t>
  </si>
  <si>
    <t>M2A</t>
  </si>
  <si>
    <t>M2B</t>
  </si>
  <si>
    <t>M3A</t>
  </si>
  <si>
    <t>M3B</t>
  </si>
  <si>
    <t>M4A</t>
  </si>
  <si>
    <t>M4B</t>
  </si>
  <si>
    <t>M5A</t>
  </si>
  <si>
    <t>M5B</t>
  </si>
  <si>
    <t>M1C</t>
  </si>
  <si>
    <t>M2C</t>
  </si>
  <si>
    <t>M3C</t>
  </si>
  <si>
    <t>M4C</t>
  </si>
  <si>
    <t>M9C</t>
  </si>
  <si>
    <t>M5C</t>
  </si>
  <si>
    <t>M8C</t>
  </si>
  <si>
    <t>M6C</t>
  </si>
  <si>
    <t>M7C</t>
  </si>
  <si>
    <t>M6A</t>
  </si>
  <si>
    <t>M6B</t>
  </si>
  <si>
    <t>M7A</t>
  </si>
  <si>
    <t>M7B</t>
  </si>
  <si>
    <t>M8A</t>
  </si>
  <si>
    <t>M8B</t>
  </si>
  <si>
    <t>M9A</t>
  </si>
  <si>
    <t>M9B</t>
  </si>
  <si>
    <t>M10A</t>
  </si>
  <si>
    <t>M10B</t>
  </si>
  <si>
    <t>M10C</t>
  </si>
  <si>
    <t>MSPARE</t>
  </si>
  <si>
    <t>Machine_No</t>
  </si>
  <si>
    <t>📊 Real-Time Operations Analytics Dashboard 📊</t>
  </si>
  <si>
    <t>Sum of Mortality_Rate</t>
  </si>
  <si>
    <t>Sum of Contamination_Rate</t>
  </si>
  <si>
    <t>Sum of Blast_Count</t>
  </si>
  <si>
    <t>Sum of Successful_Output</t>
  </si>
  <si>
    <t>Sum of Total_Units2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</si>
</sst>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00"/>
  </numFmts>
  <fonts count="4" x14ac:knownFonts="1">
    <font>
      <sz val="11"/>
      <color theme="1"/>
      <name val="Calibri"/>
      <family val="2"/>
      <scheme val="minor"/>
    </font>
    <font>
      <b/>
      <sz val="11"/>
      <name val="Calibri"/>
    </font>
    <font>
      <sz val="8"/>
      <name val="Calibri"/>
      <family val="2"/>
      <scheme val="minor"/>
    </font>
    <font>
      <b/>
      <sz val="26"/>
      <name val="Calibri"/>
      <family val="2"/>
    </font>
  </fonts>
  <fills count="3">
    <fill>
      <patternFill patternType="none"/>
    </fill>
    <fill>
      <patternFill patternType="gray125"/>
    </fill>
    <fill>
      <patternFill patternType="solid">
        <fgColor theme="5"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2" fontId="0" fillId="0" borderId="0" xfId="0" applyNumberFormat="1"/>
    <xf numFmtId="173" fontId="0" fillId="0" borderId="0" xfId="0" applyNumberFormat="1"/>
    <xf numFmtId="0" fontId="0" fillId="0" borderId="0" xfId="0" applyBorder="1"/>
    <xf numFmtId="10" fontId="0" fillId="0" borderId="0" xfId="0" applyNumberForma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0" fillId="2" borderId="4" xfId="0" applyFill="1" applyBorder="1" applyAlignment="1"/>
    <xf numFmtId="0" fontId="0" fillId="2" borderId="0" xfId="0" applyFill="1" applyBorder="1" applyAlignment="1"/>
    <xf numFmtId="0" fontId="0" fillId="2" borderId="5" xfId="0" applyFill="1" applyBorder="1" applyAlignment="1"/>
    <xf numFmtId="0" fontId="0" fillId="2" borderId="4" xfId="0" applyFill="1" applyBorder="1"/>
    <xf numFmtId="0" fontId="0" fillId="2" borderId="0" xfId="0" applyFill="1" applyBorder="1"/>
    <xf numFmtId="0" fontId="0" fillId="2" borderId="5" xfId="0" applyFill="1" applyBorder="1"/>
    <xf numFmtId="0" fontId="1" fillId="2" borderId="4" xfId="0" applyFont="1" applyFill="1" applyBorder="1"/>
    <xf numFmtId="0" fontId="1" fillId="2" borderId="0" xfId="0" applyFont="1" applyFill="1" applyBorder="1"/>
    <xf numFmtId="0" fontId="0" fillId="2" borderId="6" xfId="0" applyFill="1" applyBorder="1"/>
    <xf numFmtId="0" fontId="0" fillId="2" borderId="7" xfId="0" applyFill="1" applyBorder="1"/>
    <xf numFmtId="0" fontId="0" fillId="2" borderId="8" xfId="0" applyFill="1" applyBorder="1"/>
  </cellXfs>
  <cellStyles count="1">
    <cellStyle name="Normal" xfId="0" builtinId="0"/>
  </cellStyles>
  <dxfs count="4">
    <dxf>
      <numFmt numFmtId="173" formatCode="0.0000"/>
    </dxf>
    <dxf>
      <numFmt numFmtId="173" formatCode="0.0000"/>
    </dxf>
    <dxf>
      <numFmt numFmtId="173" formatCode="0.0000"/>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11/relationships/timelineCache" Target="timelineCaches/timelineCache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Sum of Mortality_Rate</c:v>
                </c:pt>
              </c:strCache>
            </c:strRef>
          </c:tx>
          <c:spPr>
            <a:ln w="28575" cap="rnd">
              <a:solidFill>
                <a:schemeClr val="accent1"/>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Pivots!$B$4:$B$16</c:f>
              <c:numCache>
                <c:formatCode>General</c:formatCode>
                <c:ptCount val="12"/>
                <c:pt idx="0">
                  <c:v>1.7529410229139015</c:v>
                </c:pt>
                <c:pt idx="1">
                  <c:v>1.4099981641823307</c:v>
                </c:pt>
                <c:pt idx="2">
                  <c:v>1.5507783473018688</c:v>
                </c:pt>
                <c:pt idx="3">
                  <c:v>1.4850397906900392</c:v>
                </c:pt>
                <c:pt idx="4">
                  <c:v>1.4583182137625748</c:v>
                </c:pt>
                <c:pt idx="5">
                  <c:v>1.6508901006976364</c:v>
                </c:pt>
                <c:pt idx="6">
                  <c:v>1.553381089048222</c:v>
                </c:pt>
                <c:pt idx="7">
                  <c:v>1.3769433194531278</c:v>
                </c:pt>
                <c:pt idx="8">
                  <c:v>1.5663404924305737</c:v>
                </c:pt>
                <c:pt idx="9">
                  <c:v>1.6658340984540743</c:v>
                </c:pt>
                <c:pt idx="10">
                  <c:v>1.5921322276357159</c:v>
                </c:pt>
                <c:pt idx="11">
                  <c:v>1.3437986266113469</c:v>
                </c:pt>
              </c:numCache>
            </c:numRef>
          </c:val>
          <c:smooth val="0"/>
          <c:extLst>
            <c:ext xmlns:c16="http://schemas.microsoft.com/office/drawing/2014/chart" uri="{C3380CC4-5D6E-409C-BE32-E72D297353CC}">
              <c16:uniqueId val="{00000007-FC1C-4081-B146-4CDAE886FAE7}"/>
            </c:ext>
          </c:extLst>
        </c:ser>
        <c:ser>
          <c:idx val="1"/>
          <c:order val="1"/>
          <c:tx>
            <c:strRef>
              <c:f>Pivots!$C$3</c:f>
              <c:strCache>
                <c:ptCount val="1"/>
                <c:pt idx="0">
                  <c:v>Sum of Contamination_Rate</c:v>
                </c:pt>
              </c:strCache>
            </c:strRef>
          </c:tx>
          <c:spPr>
            <a:ln w="28575" cap="rnd">
              <a:solidFill>
                <a:schemeClr val="accent2"/>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Pivots!$C$4:$C$16</c:f>
              <c:numCache>
                <c:formatCode>General</c:formatCode>
                <c:ptCount val="12"/>
                <c:pt idx="0">
                  <c:v>0.58550284323467661</c:v>
                </c:pt>
                <c:pt idx="1">
                  <c:v>0.47000027750578149</c:v>
                </c:pt>
                <c:pt idx="2">
                  <c:v>0.55533797579929334</c:v>
                </c:pt>
                <c:pt idx="3">
                  <c:v>0.52185476347824444</c:v>
                </c:pt>
                <c:pt idx="4">
                  <c:v>0.58502387496097119</c:v>
                </c:pt>
                <c:pt idx="5">
                  <c:v>0.50192322846811455</c:v>
                </c:pt>
                <c:pt idx="6">
                  <c:v>0.60196906159544616</c:v>
                </c:pt>
                <c:pt idx="7">
                  <c:v>0.54801845813627015</c:v>
                </c:pt>
                <c:pt idx="8">
                  <c:v>0.4903166283466962</c:v>
                </c:pt>
                <c:pt idx="9">
                  <c:v>0.51296489915493315</c:v>
                </c:pt>
                <c:pt idx="10">
                  <c:v>0.54055963200177537</c:v>
                </c:pt>
                <c:pt idx="11">
                  <c:v>0.51222558104988503</c:v>
                </c:pt>
              </c:numCache>
            </c:numRef>
          </c:val>
          <c:smooth val="0"/>
          <c:extLst>
            <c:ext xmlns:c16="http://schemas.microsoft.com/office/drawing/2014/chart" uri="{C3380CC4-5D6E-409C-BE32-E72D297353CC}">
              <c16:uniqueId val="{00000008-FC1C-4081-B146-4CDAE886FAE7}"/>
            </c:ext>
          </c:extLst>
        </c:ser>
        <c:dLbls>
          <c:showLegendKey val="0"/>
          <c:showVal val="0"/>
          <c:showCatName val="0"/>
          <c:showSerName val="0"/>
          <c:showPercent val="0"/>
          <c:showBubbleSize val="0"/>
        </c:dLbls>
        <c:smooth val="0"/>
        <c:axId val="1703467904"/>
        <c:axId val="1703462144"/>
      </c:lineChart>
      <c:catAx>
        <c:axId val="170346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62144"/>
        <c:crosses val="autoZero"/>
        <c:auto val="1"/>
        <c:lblAlgn val="ctr"/>
        <c:lblOffset val="100"/>
        <c:noMultiLvlLbl val="0"/>
      </c:catAx>
      <c:valAx>
        <c:axId val="1703462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6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[ready_dashboard.xlsx]Pivots!PivotTable6</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Pivots!$B$18</c:f>
              <c:strCache>
                <c:ptCount val="1"/>
                <c:pt idx="0">
                  <c:v>Total</c:v>
                </c:pt>
              </c:strCache>
            </c:strRef>
          </c:tx>
          <c:spPr>
            <a:solidFill>
              <a:schemeClr val="accent1"/>
            </a:solidFill>
            <a:ln>
              <a:noFill/>
            </a:ln>
            <a:effectLst/>
          </c:spPr>
          <c:invertIfNegative val="0"/>
          <c:cat>
            <c:strRef>
              <c:f>Pivots!$A$19:$A$31</c:f>
              <c:strCache>
                <c:ptCount val="12"/>
                <c:pt idx="0">
                  <c:v>BATCH_1</c:v>
                </c:pt>
                <c:pt idx="1">
                  <c:v>BATCH_10</c:v>
                </c:pt>
                <c:pt idx="2">
                  <c:v>BATCH_11</c:v>
                </c:pt>
                <c:pt idx="3">
                  <c:v>BATCH_12</c:v>
                </c:pt>
                <c:pt idx="4">
                  <c:v>BATCH_2</c:v>
                </c:pt>
                <c:pt idx="5">
                  <c:v>BATCH_3</c:v>
                </c:pt>
                <c:pt idx="6">
                  <c:v>BATCH_4</c:v>
                </c:pt>
                <c:pt idx="7">
                  <c:v>BATCH_5</c:v>
                </c:pt>
                <c:pt idx="8">
                  <c:v>BATCH_6</c:v>
                </c:pt>
                <c:pt idx="9">
                  <c:v>BATCH_7</c:v>
                </c:pt>
                <c:pt idx="10">
                  <c:v>BATCH_8</c:v>
                </c:pt>
                <c:pt idx="11">
                  <c:v>BATCH_9</c:v>
                </c:pt>
              </c:strCache>
            </c:strRef>
          </c:cat>
          <c:val>
            <c:numRef>
              <c:f>Pivots!$B$19:$B$31</c:f>
              <c:numCache>
                <c:formatCode>0.00%</c:formatCode>
                <c:ptCount val="12"/>
                <c:pt idx="0">
                  <c:v>8.352869045186001E-2</c:v>
                </c:pt>
                <c:pt idx="1">
                  <c:v>8.3442236611399101E-2</c:v>
                </c:pt>
                <c:pt idx="2">
                  <c:v>8.1708838314762916E-2</c:v>
                </c:pt>
                <c:pt idx="3">
                  <c:v>8.4851243936757026E-2</c:v>
                </c:pt>
                <c:pt idx="4">
                  <c:v>7.7626972700122504E-2</c:v>
                </c:pt>
                <c:pt idx="5">
                  <c:v>8.6632572121700349E-2</c:v>
                </c:pt>
                <c:pt idx="6">
                  <c:v>8.2088884685393201E-2</c:v>
                </c:pt>
                <c:pt idx="7">
                  <c:v>8.4521039840662671E-2</c:v>
                </c:pt>
                <c:pt idx="8">
                  <c:v>8.3031480826589052E-2</c:v>
                </c:pt>
                <c:pt idx="9">
                  <c:v>8.5763759495299421E-2</c:v>
                </c:pt>
                <c:pt idx="10">
                  <c:v>8.4517861674540867E-2</c:v>
                </c:pt>
                <c:pt idx="11">
                  <c:v>8.2286419340912673E-2</c:v>
                </c:pt>
              </c:numCache>
            </c:numRef>
          </c:val>
          <c:extLst>
            <c:ext xmlns:c16="http://schemas.microsoft.com/office/drawing/2014/chart" uri="{C3380CC4-5D6E-409C-BE32-E72D297353CC}">
              <c16:uniqueId val="{00000002-F836-43DF-8983-42D34AFF84CA}"/>
            </c:ext>
          </c:extLst>
        </c:ser>
        <c:dLbls>
          <c:showLegendKey val="0"/>
          <c:showVal val="0"/>
          <c:showCatName val="0"/>
          <c:showSerName val="0"/>
          <c:showPercent val="0"/>
          <c:showBubbleSize val="0"/>
        </c:dLbls>
        <c:gapWidth val="182"/>
        <c:axId val="254275552"/>
        <c:axId val="254281312"/>
      </c:barChart>
      <c:catAx>
        <c:axId val="2542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81312"/>
        <c:crosses val="autoZero"/>
        <c:auto val="1"/>
        <c:lblAlgn val="ctr"/>
        <c:lblOffset val="100"/>
        <c:noMultiLvlLbl val="0"/>
      </c:catAx>
      <c:valAx>
        <c:axId val="25428131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7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[ready_dashboard.xlsx]Pivots!PivotTable10</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Pivots!$B$34</c:f>
              <c:strCache>
                <c:ptCount val="1"/>
                <c:pt idx="0">
                  <c:v>Total</c:v>
                </c:pt>
              </c:strCache>
            </c:strRef>
          </c:tx>
          <c:spPr>
            <a:solidFill>
              <a:schemeClr val="accent1"/>
            </a:solidFill>
            <a:ln>
              <a:noFill/>
            </a:ln>
            <a:effectLst/>
          </c:spPr>
          <c:invertIfNegative val="0"/>
          <c:cat>
            <c:strRef>
              <c:f>Pivots!$A$35:$A$66</c:f>
              <c:strCache>
                <c:ptCount val="31"/>
                <c:pt idx="0">
                  <c:v>M10A</c:v>
                </c:pt>
                <c:pt idx="1">
                  <c:v>M10B</c:v>
                </c:pt>
                <c:pt idx="2">
                  <c:v>M10C</c:v>
                </c:pt>
                <c:pt idx="3">
                  <c:v>M1A</c:v>
                </c:pt>
                <c:pt idx="4">
                  <c:v>M1B</c:v>
                </c:pt>
                <c:pt idx="5">
                  <c:v>M1C</c:v>
                </c:pt>
                <c:pt idx="6">
                  <c:v>M2A</c:v>
                </c:pt>
                <c:pt idx="7">
                  <c:v>M2B</c:v>
                </c:pt>
                <c:pt idx="8">
                  <c:v>M2C</c:v>
                </c:pt>
                <c:pt idx="9">
                  <c:v>M3A</c:v>
                </c:pt>
                <c:pt idx="10">
                  <c:v>M3B</c:v>
                </c:pt>
                <c:pt idx="11">
                  <c:v>M3C</c:v>
                </c:pt>
                <c:pt idx="12">
                  <c:v>M4A</c:v>
                </c:pt>
                <c:pt idx="13">
                  <c:v>M4B</c:v>
                </c:pt>
                <c:pt idx="14">
                  <c:v>M4C</c:v>
                </c:pt>
                <c:pt idx="15">
                  <c:v>M5A</c:v>
                </c:pt>
                <c:pt idx="16">
                  <c:v>M5B</c:v>
                </c:pt>
                <c:pt idx="17">
                  <c:v>M5C</c:v>
                </c:pt>
                <c:pt idx="18">
                  <c:v>M6A</c:v>
                </c:pt>
                <c:pt idx="19">
                  <c:v>M6B</c:v>
                </c:pt>
                <c:pt idx="20">
                  <c:v>M6C</c:v>
                </c:pt>
                <c:pt idx="21">
                  <c:v>M7A</c:v>
                </c:pt>
                <c:pt idx="22">
                  <c:v>M7B</c:v>
                </c:pt>
                <c:pt idx="23">
                  <c:v>M7C</c:v>
                </c:pt>
                <c:pt idx="24">
                  <c:v>M8A</c:v>
                </c:pt>
                <c:pt idx="25">
                  <c:v>M8B</c:v>
                </c:pt>
                <c:pt idx="26">
                  <c:v>M8C</c:v>
                </c:pt>
                <c:pt idx="27">
                  <c:v>M9A</c:v>
                </c:pt>
                <c:pt idx="28">
                  <c:v>M9B</c:v>
                </c:pt>
                <c:pt idx="29">
                  <c:v>M9C</c:v>
                </c:pt>
                <c:pt idx="30">
                  <c:v>MSPARE</c:v>
                </c:pt>
              </c:strCache>
            </c:strRef>
          </c:cat>
          <c:val>
            <c:numRef>
              <c:f>Pivots!$B$35:$B$66</c:f>
              <c:numCache>
                <c:formatCode>General</c:formatCode>
                <c:ptCount val="31"/>
                <c:pt idx="0">
                  <c:v>9568</c:v>
                </c:pt>
                <c:pt idx="1">
                  <c:v>10547</c:v>
                </c:pt>
                <c:pt idx="2">
                  <c:v>8035</c:v>
                </c:pt>
                <c:pt idx="3">
                  <c:v>11497</c:v>
                </c:pt>
                <c:pt idx="4">
                  <c:v>11867</c:v>
                </c:pt>
                <c:pt idx="5">
                  <c:v>12521</c:v>
                </c:pt>
                <c:pt idx="6">
                  <c:v>11574</c:v>
                </c:pt>
                <c:pt idx="7">
                  <c:v>12324</c:v>
                </c:pt>
                <c:pt idx="8">
                  <c:v>9302</c:v>
                </c:pt>
                <c:pt idx="9">
                  <c:v>8848</c:v>
                </c:pt>
                <c:pt idx="10">
                  <c:v>13055</c:v>
                </c:pt>
                <c:pt idx="11">
                  <c:v>13256</c:v>
                </c:pt>
                <c:pt idx="12">
                  <c:v>13466</c:v>
                </c:pt>
                <c:pt idx="13">
                  <c:v>14087</c:v>
                </c:pt>
                <c:pt idx="14">
                  <c:v>11126</c:v>
                </c:pt>
                <c:pt idx="15">
                  <c:v>10942</c:v>
                </c:pt>
                <c:pt idx="16">
                  <c:v>11349</c:v>
                </c:pt>
                <c:pt idx="17">
                  <c:v>9248</c:v>
                </c:pt>
                <c:pt idx="18">
                  <c:v>10462</c:v>
                </c:pt>
                <c:pt idx="19">
                  <c:v>10485</c:v>
                </c:pt>
                <c:pt idx="20">
                  <c:v>13855</c:v>
                </c:pt>
                <c:pt idx="21">
                  <c:v>15165</c:v>
                </c:pt>
                <c:pt idx="22">
                  <c:v>8515</c:v>
                </c:pt>
                <c:pt idx="23">
                  <c:v>11896</c:v>
                </c:pt>
                <c:pt idx="24">
                  <c:v>10817</c:v>
                </c:pt>
                <c:pt idx="25">
                  <c:v>16181</c:v>
                </c:pt>
                <c:pt idx="26">
                  <c:v>10883</c:v>
                </c:pt>
                <c:pt idx="27">
                  <c:v>11899</c:v>
                </c:pt>
                <c:pt idx="28">
                  <c:v>12405</c:v>
                </c:pt>
                <c:pt idx="29">
                  <c:v>8231</c:v>
                </c:pt>
                <c:pt idx="30">
                  <c:v>5496</c:v>
                </c:pt>
              </c:numCache>
            </c:numRef>
          </c:val>
          <c:extLst>
            <c:ext xmlns:c16="http://schemas.microsoft.com/office/drawing/2014/chart" uri="{C3380CC4-5D6E-409C-BE32-E72D297353CC}">
              <c16:uniqueId val="{00000002-9164-44A1-ADAC-98CBFA1963A2}"/>
            </c:ext>
          </c:extLst>
        </c:ser>
        <c:dLbls>
          <c:showLegendKey val="0"/>
          <c:showVal val="0"/>
          <c:showCatName val="0"/>
          <c:showSerName val="0"/>
          <c:showPercent val="0"/>
          <c:showBubbleSize val="0"/>
        </c:dLbls>
        <c:gapWidth val="219"/>
        <c:overlap val="-27"/>
        <c:axId val="119944400"/>
        <c:axId val="254952576"/>
      </c:barChart>
      <c:catAx>
        <c:axId val="1199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52576"/>
        <c:crosses val="autoZero"/>
        <c:auto val="1"/>
        <c:lblAlgn val="ctr"/>
        <c:lblOffset val="100"/>
        <c:noMultiLvlLbl val="0"/>
      </c:catAx>
      <c:valAx>
        <c:axId val="2549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[ready_dashboard.xlsx]Pivots!PivotTable5</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Sum of Mortality_Rate</c:v>
                </c:pt>
              </c:strCache>
            </c:strRef>
          </c:tx>
          <c:spPr>
            <a:ln w="28575" cap="rnd">
              <a:solidFill>
                <a:schemeClr val="accent1"/>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Pivots!$B$4:$B$16</c:f>
              <c:numCache>
                <c:formatCode>General</c:formatCode>
                <c:ptCount val="12"/>
                <c:pt idx="0">
                  <c:v>1.7529410229139015</c:v>
                </c:pt>
                <c:pt idx="1">
                  <c:v>1.4099981641823307</c:v>
                </c:pt>
                <c:pt idx="2">
                  <c:v>1.5507783473018688</c:v>
                </c:pt>
                <c:pt idx="3">
                  <c:v>1.4850397906900392</c:v>
                </c:pt>
                <c:pt idx="4">
                  <c:v>1.4583182137625748</c:v>
                </c:pt>
                <c:pt idx="5">
                  <c:v>1.6508901006976364</c:v>
                </c:pt>
                <c:pt idx="6">
                  <c:v>1.553381089048222</c:v>
                </c:pt>
                <c:pt idx="7">
                  <c:v>1.3769433194531278</c:v>
                </c:pt>
                <c:pt idx="8">
                  <c:v>1.5663404924305737</c:v>
                </c:pt>
                <c:pt idx="9">
                  <c:v>1.6658340984540743</c:v>
                </c:pt>
                <c:pt idx="10">
                  <c:v>1.5921322276357159</c:v>
                </c:pt>
                <c:pt idx="11">
                  <c:v>1.3437986266113469</c:v>
                </c:pt>
              </c:numCache>
            </c:numRef>
          </c:val>
          <c:smooth val="0"/>
          <c:extLst>
            <c:ext xmlns:c16="http://schemas.microsoft.com/office/drawing/2014/chart" uri="{C3380CC4-5D6E-409C-BE32-E72D297353CC}">
              <c16:uniqueId val="{00000005-C211-4E70-83B3-1363B9505C5D}"/>
            </c:ext>
          </c:extLst>
        </c:ser>
        <c:ser>
          <c:idx val="1"/>
          <c:order val="1"/>
          <c:tx>
            <c:strRef>
              <c:f>Pivots!$C$3</c:f>
              <c:strCache>
                <c:ptCount val="1"/>
                <c:pt idx="0">
                  <c:v>Sum of Contamination_Rate</c:v>
                </c:pt>
              </c:strCache>
            </c:strRef>
          </c:tx>
          <c:spPr>
            <a:ln w="28575" cap="rnd">
              <a:solidFill>
                <a:schemeClr val="accent2"/>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Pivots!$C$4:$C$16</c:f>
              <c:numCache>
                <c:formatCode>General</c:formatCode>
                <c:ptCount val="12"/>
                <c:pt idx="0">
                  <c:v>0.58550284323467661</c:v>
                </c:pt>
                <c:pt idx="1">
                  <c:v>0.47000027750578149</c:v>
                </c:pt>
                <c:pt idx="2">
                  <c:v>0.55533797579929334</c:v>
                </c:pt>
                <c:pt idx="3">
                  <c:v>0.52185476347824444</c:v>
                </c:pt>
                <c:pt idx="4">
                  <c:v>0.58502387496097119</c:v>
                </c:pt>
                <c:pt idx="5">
                  <c:v>0.50192322846811455</c:v>
                </c:pt>
                <c:pt idx="6">
                  <c:v>0.60196906159544616</c:v>
                </c:pt>
                <c:pt idx="7">
                  <c:v>0.54801845813627015</c:v>
                </c:pt>
                <c:pt idx="8">
                  <c:v>0.4903166283466962</c:v>
                </c:pt>
                <c:pt idx="9">
                  <c:v>0.51296489915493315</c:v>
                </c:pt>
                <c:pt idx="10">
                  <c:v>0.54055963200177537</c:v>
                </c:pt>
                <c:pt idx="11">
                  <c:v>0.51222558104988503</c:v>
                </c:pt>
              </c:numCache>
            </c:numRef>
          </c:val>
          <c:smooth val="0"/>
          <c:extLst>
            <c:ext xmlns:c16="http://schemas.microsoft.com/office/drawing/2014/chart" uri="{C3380CC4-5D6E-409C-BE32-E72D297353CC}">
              <c16:uniqueId val="{00000006-C211-4E70-83B3-1363B9505C5D}"/>
            </c:ext>
          </c:extLst>
        </c:ser>
        <c:dLbls>
          <c:showLegendKey val="0"/>
          <c:showVal val="0"/>
          <c:showCatName val="0"/>
          <c:showSerName val="0"/>
          <c:showPercent val="0"/>
          <c:showBubbleSize val="0"/>
        </c:dLbls>
        <c:smooth val="0"/>
        <c:axId val="1703467904"/>
        <c:axId val="1703462144"/>
      </c:lineChart>
      <c:catAx>
        <c:axId val="170346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62144"/>
        <c:crosses val="autoZero"/>
        <c:auto val="1"/>
        <c:lblAlgn val="ctr"/>
        <c:lblOffset val="100"/>
        <c:noMultiLvlLbl val="0"/>
      </c:catAx>
      <c:valAx>
        <c:axId val="1703462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6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[ready_dashboard.xlsx]Pivots!PivotTable6</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Pivots!$B$18</c:f>
              <c:strCache>
                <c:ptCount val="1"/>
                <c:pt idx="0">
                  <c:v>Total</c:v>
                </c:pt>
              </c:strCache>
            </c:strRef>
          </c:tx>
          <c:spPr>
            <a:solidFill>
              <a:schemeClr val="accent1"/>
            </a:solidFill>
            <a:ln>
              <a:noFill/>
            </a:ln>
            <a:effectLst/>
          </c:spPr>
          <c:invertIfNegative val="0"/>
          <c:cat>
            <c:strRef>
              <c:f>Pivots!$A$19:$A$31</c:f>
              <c:strCache>
                <c:ptCount val="12"/>
                <c:pt idx="0">
                  <c:v>BATCH_1</c:v>
                </c:pt>
                <c:pt idx="1">
                  <c:v>BATCH_10</c:v>
                </c:pt>
                <c:pt idx="2">
                  <c:v>BATCH_11</c:v>
                </c:pt>
                <c:pt idx="3">
                  <c:v>BATCH_12</c:v>
                </c:pt>
                <c:pt idx="4">
                  <c:v>BATCH_2</c:v>
                </c:pt>
                <c:pt idx="5">
                  <c:v>BATCH_3</c:v>
                </c:pt>
                <c:pt idx="6">
                  <c:v>BATCH_4</c:v>
                </c:pt>
                <c:pt idx="7">
                  <c:v>BATCH_5</c:v>
                </c:pt>
                <c:pt idx="8">
                  <c:v>BATCH_6</c:v>
                </c:pt>
                <c:pt idx="9">
                  <c:v>BATCH_7</c:v>
                </c:pt>
                <c:pt idx="10">
                  <c:v>BATCH_8</c:v>
                </c:pt>
                <c:pt idx="11">
                  <c:v>BATCH_9</c:v>
                </c:pt>
              </c:strCache>
            </c:strRef>
          </c:cat>
          <c:val>
            <c:numRef>
              <c:f>Pivots!$B$19:$B$31</c:f>
              <c:numCache>
                <c:formatCode>0.00%</c:formatCode>
                <c:ptCount val="12"/>
                <c:pt idx="0">
                  <c:v>8.352869045186001E-2</c:v>
                </c:pt>
                <c:pt idx="1">
                  <c:v>8.3442236611399101E-2</c:v>
                </c:pt>
                <c:pt idx="2">
                  <c:v>8.1708838314762916E-2</c:v>
                </c:pt>
                <c:pt idx="3">
                  <c:v>8.4851243936757026E-2</c:v>
                </c:pt>
                <c:pt idx="4">
                  <c:v>7.7626972700122504E-2</c:v>
                </c:pt>
                <c:pt idx="5">
                  <c:v>8.6632572121700349E-2</c:v>
                </c:pt>
                <c:pt idx="6">
                  <c:v>8.2088884685393201E-2</c:v>
                </c:pt>
                <c:pt idx="7">
                  <c:v>8.4521039840662671E-2</c:v>
                </c:pt>
                <c:pt idx="8">
                  <c:v>8.3031480826589052E-2</c:v>
                </c:pt>
                <c:pt idx="9">
                  <c:v>8.5763759495299421E-2</c:v>
                </c:pt>
                <c:pt idx="10">
                  <c:v>8.4517861674540867E-2</c:v>
                </c:pt>
                <c:pt idx="11">
                  <c:v>8.2286419340912673E-2</c:v>
                </c:pt>
              </c:numCache>
            </c:numRef>
          </c:val>
          <c:extLst>
            <c:ext xmlns:c16="http://schemas.microsoft.com/office/drawing/2014/chart" uri="{C3380CC4-5D6E-409C-BE32-E72D297353CC}">
              <c16:uniqueId val="{00000001-22D2-410E-A721-65014E61336C}"/>
            </c:ext>
          </c:extLst>
        </c:ser>
        <c:dLbls>
          <c:showLegendKey val="0"/>
          <c:showVal val="0"/>
          <c:showCatName val="0"/>
          <c:showSerName val="0"/>
          <c:showPercent val="0"/>
          <c:showBubbleSize val="0"/>
        </c:dLbls>
        <c:gapWidth val="182"/>
        <c:axId val="254275552"/>
        <c:axId val="254281312"/>
      </c:barChart>
      <c:catAx>
        <c:axId val="2542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81312"/>
        <c:crosses val="autoZero"/>
        <c:auto val="1"/>
        <c:lblAlgn val="ctr"/>
        <c:lblOffset val="100"/>
        <c:noMultiLvlLbl val="0"/>
      </c:catAx>
      <c:valAx>
        <c:axId val="25428131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7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[ready_dashboard.xlsx]Pivots!PivotTable10</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Blast</a:t>
            </a:r>
            <a:r>
              <a:rPr lang="en-US" baseline="0"/>
              <a:t> Count by Machine Nos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Pivots!$B$34</c:f>
              <c:strCache>
                <c:ptCount val="1"/>
                <c:pt idx="0">
                  <c:v>Total</c:v>
                </c:pt>
              </c:strCache>
            </c:strRef>
          </c:tx>
          <c:spPr>
            <a:solidFill>
              <a:schemeClr val="accent1"/>
            </a:solidFill>
            <a:ln>
              <a:noFill/>
            </a:ln>
            <a:effectLst/>
          </c:spPr>
          <c:invertIfNegative val="0"/>
          <c:cat>
            <c:strRef>
              <c:f>Pivots!$A$35:$A$66</c:f>
              <c:strCache>
                <c:ptCount val="31"/>
                <c:pt idx="0">
                  <c:v>M10A</c:v>
                </c:pt>
                <c:pt idx="1">
                  <c:v>M10B</c:v>
                </c:pt>
                <c:pt idx="2">
                  <c:v>M10C</c:v>
                </c:pt>
                <c:pt idx="3">
                  <c:v>M1A</c:v>
                </c:pt>
                <c:pt idx="4">
                  <c:v>M1B</c:v>
                </c:pt>
                <c:pt idx="5">
                  <c:v>M1C</c:v>
                </c:pt>
                <c:pt idx="6">
                  <c:v>M2A</c:v>
                </c:pt>
                <c:pt idx="7">
                  <c:v>M2B</c:v>
                </c:pt>
                <c:pt idx="8">
                  <c:v>M2C</c:v>
                </c:pt>
                <c:pt idx="9">
                  <c:v>M3A</c:v>
                </c:pt>
                <c:pt idx="10">
                  <c:v>M3B</c:v>
                </c:pt>
                <c:pt idx="11">
                  <c:v>M3C</c:v>
                </c:pt>
                <c:pt idx="12">
                  <c:v>M4A</c:v>
                </c:pt>
                <c:pt idx="13">
                  <c:v>M4B</c:v>
                </c:pt>
                <c:pt idx="14">
                  <c:v>M4C</c:v>
                </c:pt>
                <c:pt idx="15">
                  <c:v>M5A</c:v>
                </c:pt>
                <c:pt idx="16">
                  <c:v>M5B</c:v>
                </c:pt>
                <c:pt idx="17">
                  <c:v>M5C</c:v>
                </c:pt>
                <c:pt idx="18">
                  <c:v>M6A</c:v>
                </c:pt>
                <c:pt idx="19">
                  <c:v>M6B</c:v>
                </c:pt>
                <c:pt idx="20">
                  <c:v>M6C</c:v>
                </c:pt>
                <c:pt idx="21">
                  <c:v>M7A</c:v>
                </c:pt>
                <c:pt idx="22">
                  <c:v>M7B</c:v>
                </c:pt>
                <c:pt idx="23">
                  <c:v>M7C</c:v>
                </c:pt>
                <c:pt idx="24">
                  <c:v>M8A</c:v>
                </c:pt>
                <c:pt idx="25">
                  <c:v>M8B</c:v>
                </c:pt>
                <c:pt idx="26">
                  <c:v>M8C</c:v>
                </c:pt>
                <c:pt idx="27">
                  <c:v>M9A</c:v>
                </c:pt>
                <c:pt idx="28">
                  <c:v>M9B</c:v>
                </c:pt>
                <c:pt idx="29">
                  <c:v>M9C</c:v>
                </c:pt>
                <c:pt idx="30">
                  <c:v>MSPARE</c:v>
                </c:pt>
              </c:strCache>
            </c:strRef>
          </c:cat>
          <c:val>
            <c:numRef>
              <c:f>Pivots!$B$35:$B$66</c:f>
              <c:numCache>
                <c:formatCode>General</c:formatCode>
                <c:ptCount val="31"/>
                <c:pt idx="0">
                  <c:v>9568</c:v>
                </c:pt>
                <c:pt idx="1">
                  <c:v>10547</c:v>
                </c:pt>
                <c:pt idx="2">
                  <c:v>8035</c:v>
                </c:pt>
                <c:pt idx="3">
                  <c:v>11497</c:v>
                </c:pt>
                <c:pt idx="4">
                  <c:v>11867</c:v>
                </c:pt>
                <c:pt idx="5">
                  <c:v>12521</c:v>
                </c:pt>
                <c:pt idx="6">
                  <c:v>11574</c:v>
                </c:pt>
                <c:pt idx="7">
                  <c:v>12324</c:v>
                </c:pt>
                <c:pt idx="8">
                  <c:v>9302</c:v>
                </c:pt>
                <c:pt idx="9">
                  <c:v>8848</c:v>
                </c:pt>
                <c:pt idx="10">
                  <c:v>13055</c:v>
                </c:pt>
                <c:pt idx="11">
                  <c:v>13256</c:v>
                </c:pt>
                <c:pt idx="12">
                  <c:v>13466</c:v>
                </c:pt>
                <c:pt idx="13">
                  <c:v>14087</c:v>
                </c:pt>
                <c:pt idx="14">
                  <c:v>11126</c:v>
                </c:pt>
                <c:pt idx="15">
                  <c:v>10942</c:v>
                </c:pt>
                <c:pt idx="16">
                  <c:v>11349</c:v>
                </c:pt>
                <c:pt idx="17">
                  <c:v>9248</c:v>
                </c:pt>
                <c:pt idx="18">
                  <c:v>10462</c:v>
                </c:pt>
                <c:pt idx="19">
                  <c:v>10485</c:v>
                </c:pt>
                <c:pt idx="20">
                  <c:v>13855</c:v>
                </c:pt>
                <c:pt idx="21">
                  <c:v>15165</c:v>
                </c:pt>
                <c:pt idx="22">
                  <c:v>8515</c:v>
                </c:pt>
                <c:pt idx="23">
                  <c:v>11896</c:v>
                </c:pt>
                <c:pt idx="24">
                  <c:v>10817</c:v>
                </c:pt>
                <c:pt idx="25">
                  <c:v>16181</c:v>
                </c:pt>
                <c:pt idx="26">
                  <c:v>10883</c:v>
                </c:pt>
                <c:pt idx="27">
                  <c:v>11899</c:v>
                </c:pt>
                <c:pt idx="28">
                  <c:v>12405</c:v>
                </c:pt>
                <c:pt idx="29">
                  <c:v>8231</c:v>
                </c:pt>
                <c:pt idx="30">
                  <c:v>5496</c:v>
                </c:pt>
              </c:numCache>
            </c:numRef>
          </c:val>
          <c:extLst>
            <c:ext xmlns:c16="http://schemas.microsoft.com/office/drawing/2014/chart" uri="{C3380CC4-5D6E-409C-BE32-E72D297353CC}">
              <c16:uniqueId val="{00000001-1242-439D-A49B-10B5D9D64FED}"/>
            </c:ext>
          </c:extLst>
        </c:ser>
        <c:dLbls>
          <c:showLegendKey val="0"/>
          <c:showVal val="0"/>
          <c:showCatName val="0"/>
          <c:showSerName val="0"/>
          <c:showPercent val="0"/>
          <c:showBubbleSize val="0"/>
        </c:dLbls>
        <c:gapWidth val="219"/>
        <c:overlap val="-27"/>
        <c:axId val="119944400"/>
        <c:axId val="254952576"/>
      </c:barChart>
      <c:catAx>
        <c:axId val="1199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52576"/>
        <c:crosses val="autoZero"/>
        <c:auto val="1"/>
        <c:lblAlgn val="ctr"/>
        <c:lblOffset val="100"/>
        <c:noMultiLvlLbl val="0"/>
      </c:catAx>
      <c:valAx>
        <c:axId val="25495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114300</xdr:colOff>
      <xdr:row>0</xdr:row>
      <xdr:rowOff>99060</xdr:rowOff>
    </xdr:from>
    <xdr:to>
      <xdr:col>30</xdr:col>
      <xdr:colOff>205740</xdr:colOff>
      <xdr:row>7</xdr:row>
      <xdr:rowOff>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9727312C-809E-534B-44DC-529D05CA466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383780" y="99060"/>
              <a:ext cx="617220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487680</xdr:colOff>
      <xdr:row>4</xdr:row>
      <xdr:rowOff>106681</xdr:rowOff>
    </xdr:from>
    <xdr:to>
      <xdr:col>23</xdr:col>
      <xdr:colOff>190500</xdr:colOff>
      <xdr:row>12</xdr:row>
      <xdr:rowOff>76200</xdr:rowOff>
    </xdr:to>
    <mc:AlternateContent xmlns:mc="http://schemas.openxmlformats.org/markup-compatibility/2006">
      <mc:Choice xmlns:a14="http://schemas.microsoft.com/office/drawing/2010/main" Requires="a14">
        <xdr:graphicFrame macro="">
          <xdr:nvGraphicFramePr>
            <xdr:cNvPr id="4" name="Batch_ID">
              <a:extLst>
                <a:ext uri="{FF2B5EF4-FFF2-40B4-BE49-F238E27FC236}">
                  <a16:creationId xmlns:a16="http://schemas.microsoft.com/office/drawing/2014/main" id="{F21DF811-86C8-CB3B-05B1-BB8E43519AF2}"/>
                </a:ext>
              </a:extLst>
            </xdr:cNvPr>
            <xdr:cNvGraphicFramePr/>
          </xdr:nvGraphicFramePr>
          <xdr:xfrm>
            <a:off x="0" y="0"/>
            <a:ext cx="0" cy="0"/>
          </xdr:xfrm>
          <a:graphic>
            <a:graphicData uri="http://schemas.microsoft.com/office/drawing/2010/slicer">
              <sle:slicer xmlns:sle="http://schemas.microsoft.com/office/drawing/2010/slicer" name="Batch_ID"/>
            </a:graphicData>
          </a:graphic>
        </xdr:graphicFrame>
      </mc:Choice>
      <mc:Fallback>
        <xdr:sp macro="" textlink="">
          <xdr:nvSpPr>
            <xdr:cNvPr id="0" name=""/>
            <xdr:cNvSpPr>
              <a:spLocks noTextEdit="1"/>
            </xdr:cNvSpPr>
          </xdr:nvSpPr>
          <xdr:spPr>
            <a:xfrm>
              <a:off x="8618220" y="838201"/>
              <a:ext cx="256032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0</xdr:row>
      <xdr:rowOff>91441</xdr:rowOff>
    </xdr:from>
    <xdr:to>
      <xdr:col>23</xdr:col>
      <xdr:colOff>106680</xdr:colOff>
      <xdr:row>4</xdr:row>
      <xdr:rowOff>53341</xdr:rowOff>
    </xdr:to>
    <mc:AlternateContent xmlns:mc="http://schemas.openxmlformats.org/markup-compatibility/2006">
      <mc:Choice xmlns:a14="http://schemas.microsoft.com/office/drawing/2010/main" Requires="a14">
        <xdr:graphicFrame macro="">
          <xdr:nvGraphicFramePr>
            <xdr:cNvPr id="5" name="Alert">
              <a:extLst>
                <a:ext uri="{FF2B5EF4-FFF2-40B4-BE49-F238E27FC236}">
                  <a16:creationId xmlns:a16="http://schemas.microsoft.com/office/drawing/2014/main" id="{B7CF7EFB-628E-9AF9-1C7D-CF0806CB7F95}"/>
                </a:ext>
              </a:extLst>
            </xdr:cNvPr>
            <xdr:cNvGraphicFramePr/>
          </xdr:nvGraphicFramePr>
          <xdr:xfrm>
            <a:off x="0" y="0"/>
            <a:ext cx="0" cy="0"/>
          </xdr:xfrm>
          <a:graphic>
            <a:graphicData uri="http://schemas.microsoft.com/office/drawing/2010/slicer">
              <sle:slicer xmlns:sle="http://schemas.microsoft.com/office/drawing/2010/slicer" name="Alert"/>
            </a:graphicData>
          </a:graphic>
        </xdr:graphicFrame>
      </mc:Choice>
      <mc:Fallback>
        <xdr:sp macro="" textlink="">
          <xdr:nvSpPr>
            <xdr:cNvPr id="0" name=""/>
            <xdr:cNvSpPr>
              <a:spLocks noTextEdit="1"/>
            </xdr:cNvSpPr>
          </xdr:nvSpPr>
          <xdr:spPr>
            <a:xfrm>
              <a:off x="8618220" y="91441"/>
              <a:ext cx="247650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2</xdr:row>
      <xdr:rowOff>30480</xdr:rowOff>
    </xdr:from>
    <xdr:to>
      <xdr:col>9</xdr:col>
      <xdr:colOff>358140</xdr:colOff>
      <xdr:row>16</xdr:row>
      <xdr:rowOff>0</xdr:rowOff>
    </xdr:to>
    <xdr:graphicFrame macro="">
      <xdr:nvGraphicFramePr>
        <xdr:cNvPr id="6" name="Chart 5">
          <a:extLst>
            <a:ext uri="{FF2B5EF4-FFF2-40B4-BE49-F238E27FC236}">
              <a16:creationId xmlns:a16="http://schemas.microsoft.com/office/drawing/2014/main" id="{71E5482E-FDEF-75D6-3BE8-7EFA72BAC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1082040</xdr:colOff>
      <xdr:row>15</xdr:row>
      <xdr:rowOff>38100</xdr:rowOff>
    </xdr:from>
    <xdr:to>
      <xdr:col>8</xdr:col>
      <xdr:colOff>274320</xdr:colOff>
      <xdr:row>30</xdr:row>
      <xdr:rowOff>38100</xdr:rowOff>
    </xdr:to>
    <xdr:graphicFrame macro="">
      <xdr:nvGraphicFramePr>
        <xdr:cNvPr id="9" name="Chart 8">
          <a:extLst>
            <a:ext uri="{FF2B5EF4-FFF2-40B4-BE49-F238E27FC236}">
              <a16:creationId xmlns:a16="http://schemas.microsoft.com/office/drawing/2014/main" id="{E6F684E6-0EFF-7DD1-343D-7D700A96B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441960</xdr:colOff>
      <xdr:row>38</xdr:row>
      <xdr:rowOff>114300</xdr:rowOff>
    </xdr:from>
    <xdr:to>
      <xdr:col>23</xdr:col>
      <xdr:colOff>106680</xdr:colOff>
      <xdr:row>51</xdr:row>
      <xdr:rowOff>129540</xdr:rowOff>
    </xdr:to>
    <xdr:graphicFrame macro="">
      <xdr:nvGraphicFramePr>
        <xdr:cNvPr id="10" name="Chart 9">
          <a:extLst>
            <a:ext uri="{FF2B5EF4-FFF2-40B4-BE49-F238E27FC236}">
              <a16:creationId xmlns:a16="http://schemas.microsoft.com/office/drawing/2014/main" id="{FF204030-BB0E-A76E-509F-1D33BD322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17930</xdr:colOff>
      <xdr:row>1</xdr:row>
      <xdr:rowOff>26894</xdr:rowOff>
    </xdr:from>
    <xdr:to>
      <xdr:col>7</xdr:col>
      <xdr:colOff>354106</xdr:colOff>
      <xdr:row>3</xdr:row>
      <xdr:rowOff>35858</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047F3F65-0996-40EA-A29F-90ECE19FE54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7930" y="680037"/>
              <a:ext cx="6127376" cy="8798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394446</xdr:colOff>
      <xdr:row>1</xdr:row>
      <xdr:rowOff>17930</xdr:rowOff>
    </xdr:from>
    <xdr:to>
      <xdr:col>11</xdr:col>
      <xdr:colOff>806824</xdr:colOff>
      <xdr:row>4</xdr:row>
      <xdr:rowOff>242048</xdr:rowOff>
    </xdr:to>
    <mc:AlternateContent xmlns:mc="http://schemas.openxmlformats.org/markup-compatibility/2006">
      <mc:Choice xmlns:a14="http://schemas.microsoft.com/office/drawing/2010/main" Requires="a14">
        <xdr:graphicFrame macro="">
          <xdr:nvGraphicFramePr>
            <xdr:cNvPr id="10" name="Batch_ID 1">
              <a:extLst>
                <a:ext uri="{FF2B5EF4-FFF2-40B4-BE49-F238E27FC236}">
                  <a16:creationId xmlns:a16="http://schemas.microsoft.com/office/drawing/2014/main" id="{6380AA49-E0E2-4C39-B6AD-40EB5F4C27DB}"/>
                </a:ext>
              </a:extLst>
            </xdr:cNvPr>
            <xdr:cNvGraphicFramePr/>
          </xdr:nvGraphicFramePr>
          <xdr:xfrm>
            <a:off x="0" y="0"/>
            <a:ext cx="0" cy="0"/>
          </xdr:xfrm>
          <a:graphic>
            <a:graphicData uri="http://schemas.microsoft.com/office/drawing/2010/slicer">
              <sle:slicer xmlns:sle="http://schemas.microsoft.com/office/drawing/2010/slicer" name="Batch_ID 1"/>
            </a:graphicData>
          </a:graphic>
        </xdr:graphicFrame>
      </mc:Choice>
      <mc:Fallback>
        <xdr:sp macro="" textlink="">
          <xdr:nvSpPr>
            <xdr:cNvPr id="0" name=""/>
            <xdr:cNvSpPr>
              <a:spLocks noTextEdit="1"/>
            </xdr:cNvSpPr>
          </xdr:nvSpPr>
          <xdr:spPr>
            <a:xfrm>
              <a:off x="6185646" y="671073"/>
              <a:ext cx="3721635" cy="1530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358588</xdr:colOff>
      <xdr:row>0</xdr:row>
      <xdr:rowOff>17930</xdr:rowOff>
    </xdr:from>
    <xdr:to>
      <xdr:col>11</xdr:col>
      <xdr:colOff>806824</xdr:colOff>
      <xdr:row>1</xdr:row>
      <xdr:rowOff>8965</xdr:rowOff>
    </xdr:to>
    <mc:AlternateContent xmlns:mc="http://schemas.openxmlformats.org/markup-compatibility/2006">
      <mc:Choice xmlns:a14="http://schemas.microsoft.com/office/drawing/2010/main" Requires="a14">
        <xdr:graphicFrame macro="">
          <xdr:nvGraphicFramePr>
            <xdr:cNvPr id="11" name="Alert 1">
              <a:extLst>
                <a:ext uri="{FF2B5EF4-FFF2-40B4-BE49-F238E27FC236}">
                  <a16:creationId xmlns:a16="http://schemas.microsoft.com/office/drawing/2014/main" id="{2CDA978A-B245-4FDE-BC83-D4CA8BDC1BA6}"/>
                </a:ext>
              </a:extLst>
            </xdr:cNvPr>
            <xdr:cNvGraphicFramePr/>
          </xdr:nvGraphicFramePr>
          <xdr:xfrm>
            <a:off x="0" y="0"/>
            <a:ext cx="0" cy="0"/>
          </xdr:xfrm>
          <a:graphic>
            <a:graphicData uri="http://schemas.microsoft.com/office/drawing/2010/slicer">
              <sle:slicer xmlns:sle="http://schemas.microsoft.com/office/drawing/2010/slicer" name="Alert 1"/>
            </a:graphicData>
          </a:graphic>
        </xdr:graphicFrame>
      </mc:Choice>
      <mc:Fallback>
        <xdr:sp macro="" textlink="">
          <xdr:nvSpPr>
            <xdr:cNvPr id="0" name=""/>
            <xdr:cNvSpPr>
              <a:spLocks noTextEdit="1"/>
            </xdr:cNvSpPr>
          </xdr:nvSpPr>
          <xdr:spPr>
            <a:xfrm>
              <a:off x="6977102" y="17930"/>
              <a:ext cx="2930179" cy="64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xdr:row>
      <xdr:rowOff>62752</xdr:rowOff>
    </xdr:from>
    <xdr:to>
      <xdr:col>0</xdr:col>
      <xdr:colOff>573743</xdr:colOff>
      <xdr:row>4</xdr:row>
      <xdr:rowOff>259977</xdr:rowOff>
    </xdr:to>
    <xdr:pic>
      <xdr:nvPicPr>
        <xdr:cNvPr id="13" name="Graphic 12" descr="Bar chart with solid fill">
          <a:extLst>
            <a:ext uri="{FF2B5EF4-FFF2-40B4-BE49-F238E27FC236}">
              <a16:creationId xmlns:a16="http://schemas.microsoft.com/office/drawing/2014/main" id="{FCCD75F7-9E60-D978-A0EF-4F7528EB43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1568823"/>
          <a:ext cx="573742" cy="627530"/>
        </a:xfrm>
        <a:prstGeom prst="rect">
          <a:avLst/>
        </a:prstGeom>
      </xdr:spPr>
    </xdr:pic>
    <xdr:clientData/>
  </xdr:twoCellAnchor>
  <xdr:twoCellAnchor>
    <xdr:from>
      <xdr:col>0</xdr:col>
      <xdr:colOff>539922</xdr:colOff>
      <xdr:row>3</xdr:row>
      <xdr:rowOff>69544</xdr:rowOff>
    </xdr:from>
    <xdr:to>
      <xdr:col>2</xdr:col>
      <xdr:colOff>80683</xdr:colOff>
      <xdr:row>4</xdr:row>
      <xdr:rowOff>204016</xdr:rowOff>
    </xdr:to>
    <xdr:sp macro="" textlink="">
      <xdr:nvSpPr>
        <xdr:cNvPr id="14" name="Rectangle: Rounded Corners 13">
          <a:extLst>
            <a:ext uri="{FF2B5EF4-FFF2-40B4-BE49-F238E27FC236}">
              <a16:creationId xmlns:a16="http://schemas.microsoft.com/office/drawing/2014/main" id="{541EA630-86B1-F8F0-4D11-B92EFB725473}"/>
            </a:ext>
          </a:extLst>
        </xdr:cNvPr>
        <xdr:cNvSpPr/>
      </xdr:nvSpPr>
      <xdr:spPr>
        <a:xfrm>
          <a:off x="539922" y="1575615"/>
          <a:ext cx="1208196" cy="56477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0</xdr:col>
      <xdr:colOff>579632</xdr:colOff>
      <xdr:row>3</xdr:row>
      <xdr:rowOff>28724</xdr:rowOff>
    </xdr:from>
    <xdr:ext cx="1144673" cy="342786"/>
    <xdr:sp macro="" textlink="">
      <xdr:nvSpPr>
        <xdr:cNvPr id="15" name="Rectangle 14">
          <a:extLst>
            <a:ext uri="{FF2B5EF4-FFF2-40B4-BE49-F238E27FC236}">
              <a16:creationId xmlns:a16="http://schemas.microsoft.com/office/drawing/2014/main" id="{BD67DF62-B257-3A74-ED34-4C03C18D6A2B}"/>
            </a:ext>
          </a:extLst>
        </xdr:cNvPr>
        <xdr:cNvSpPr/>
      </xdr:nvSpPr>
      <xdr:spPr>
        <a:xfrm>
          <a:off x="579632" y="1552724"/>
          <a:ext cx="114467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Total_Units</a:t>
          </a:r>
        </a:p>
      </xdr:txBody>
    </xdr:sp>
    <xdr:clientData/>
  </xdr:oneCellAnchor>
  <xdr:twoCellAnchor>
    <xdr:from>
      <xdr:col>2</xdr:col>
      <xdr:colOff>134473</xdr:colOff>
      <xdr:row>3</xdr:row>
      <xdr:rowOff>69885</xdr:rowOff>
    </xdr:from>
    <xdr:to>
      <xdr:col>3</xdr:col>
      <xdr:colOff>591670</xdr:colOff>
      <xdr:row>4</xdr:row>
      <xdr:rowOff>215154</xdr:rowOff>
    </xdr:to>
    <xdr:sp macro="" textlink="">
      <xdr:nvSpPr>
        <xdr:cNvPr id="18" name="Rectangle: Rounded Corners 17">
          <a:extLst>
            <a:ext uri="{FF2B5EF4-FFF2-40B4-BE49-F238E27FC236}">
              <a16:creationId xmlns:a16="http://schemas.microsoft.com/office/drawing/2014/main" id="{7CEDA58E-F840-400F-AF81-2649CE48762F}"/>
            </a:ext>
          </a:extLst>
        </xdr:cNvPr>
        <xdr:cNvSpPr/>
      </xdr:nvSpPr>
      <xdr:spPr>
        <a:xfrm>
          <a:off x="1801908" y="1575956"/>
          <a:ext cx="1290915" cy="575574"/>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8965</xdr:colOff>
      <xdr:row>4</xdr:row>
      <xdr:rowOff>277905</xdr:rowOff>
    </xdr:from>
    <xdr:to>
      <xdr:col>6</xdr:col>
      <xdr:colOff>188259</xdr:colOff>
      <xdr:row>10</xdr:row>
      <xdr:rowOff>188257</xdr:rowOff>
    </xdr:to>
    <xdr:graphicFrame macro="">
      <xdr:nvGraphicFramePr>
        <xdr:cNvPr id="21" name="Chart 20">
          <a:extLst>
            <a:ext uri="{FF2B5EF4-FFF2-40B4-BE49-F238E27FC236}">
              <a16:creationId xmlns:a16="http://schemas.microsoft.com/office/drawing/2014/main" id="{A3F8F5E0-8503-47D5-A2B7-F181F9411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286870</xdr:colOff>
      <xdr:row>4</xdr:row>
      <xdr:rowOff>295834</xdr:rowOff>
    </xdr:from>
    <xdr:to>
      <xdr:col>11</xdr:col>
      <xdr:colOff>788895</xdr:colOff>
      <xdr:row>10</xdr:row>
      <xdr:rowOff>188257</xdr:rowOff>
    </xdr:to>
    <xdr:graphicFrame macro="">
      <xdr:nvGraphicFramePr>
        <xdr:cNvPr id="22" name="Chart 21">
          <a:extLst>
            <a:ext uri="{FF2B5EF4-FFF2-40B4-BE49-F238E27FC236}">
              <a16:creationId xmlns:a16="http://schemas.microsoft.com/office/drawing/2014/main" id="{B8476D0B-B34A-4618-8E56-F86DF2ED7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641663</xdr:colOff>
      <xdr:row>3</xdr:row>
      <xdr:rowOff>76063</xdr:rowOff>
    </xdr:from>
    <xdr:to>
      <xdr:col>5</xdr:col>
      <xdr:colOff>394451</xdr:colOff>
      <xdr:row>4</xdr:row>
      <xdr:rowOff>202115</xdr:rowOff>
    </xdr:to>
    <xdr:sp macro="" textlink="">
      <xdr:nvSpPr>
        <xdr:cNvPr id="23" name="Rectangle: Rounded Corners 22">
          <a:extLst>
            <a:ext uri="{FF2B5EF4-FFF2-40B4-BE49-F238E27FC236}">
              <a16:creationId xmlns:a16="http://schemas.microsoft.com/office/drawing/2014/main" id="{0F9402BB-06FB-DF7F-28E5-8FAADB776DA7}"/>
            </a:ext>
          </a:extLst>
        </xdr:cNvPr>
        <xdr:cNvSpPr/>
      </xdr:nvSpPr>
      <xdr:spPr>
        <a:xfrm>
          <a:off x="3142816" y="1582134"/>
          <a:ext cx="1420223" cy="55635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2</xdr:col>
      <xdr:colOff>118995</xdr:colOff>
      <xdr:row>3</xdr:row>
      <xdr:rowOff>28724</xdr:rowOff>
    </xdr:from>
    <xdr:ext cx="1259127" cy="342786"/>
    <xdr:sp macro="" textlink="">
      <xdr:nvSpPr>
        <xdr:cNvPr id="24" name="Rectangle 23">
          <a:extLst>
            <a:ext uri="{FF2B5EF4-FFF2-40B4-BE49-F238E27FC236}">
              <a16:creationId xmlns:a16="http://schemas.microsoft.com/office/drawing/2014/main" id="{CC92D5D9-FB94-F674-79D3-A2F0E66D1773}"/>
            </a:ext>
          </a:extLst>
        </xdr:cNvPr>
        <xdr:cNvSpPr/>
      </xdr:nvSpPr>
      <xdr:spPr>
        <a:xfrm>
          <a:off x="1773624" y="1552724"/>
          <a:ext cx="1259127"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Succ</a:t>
          </a:r>
          <a:r>
            <a:rPr lang="en-US" sz="1600" b="0" cap="none" spc="0" baseline="0">
              <a:ln w="0"/>
              <a:solidFill>
                <a:schemeClr val="tx1"/>
              </a:solidFill>
              <a:effectLst>
                <a:outerShdw blurRad="38100" dist="19050" dir="2700000" algn="tl" rotWithShape="0">
                  <a:schemeClr val="dk1">
                    <a:alpha val="40000"/>
                  </a:schemeClr>
                </a:outerShdw>
              </a:effectLst>
            </a:rPr>
            <a:t>_Output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620877</xdr:colOff>
      <xdr:row>3</xdr:row>
      <xdr:rowOff>278449</xdr:rowOff>
    </xdr:from>
    <xdr:ext cx="1037596" cy="322185"/>
    <xdr:sp macro="" textlink="Pivots!C71">
      <xdr:nvSpPr>
        <xdr:cNvPr id="25" name="Rectangle 24">
          <a:extLst>
            <a:ext uri="{FF2B5EF4-FFF2-40B4-BE49-F238E27FC236}">
              <a16:creationId xmlns:a16="http://schemas.microsoft.com/office/drawing/2014/main" id="{1EC06951-397E-1B07-C23F-69AA5C611239}"/>
            </a:ext>
          </a:extLst>
        </xdr:cNvPr>
        <xdr:cNvSpPr/>
      </xdr:nvSpPr>
      <xdr:spPr>
        <a:xfrm>
          <a:off x="620877" y="1784520"/>
          <a:ext cx="1037596" cy="322185"/>
        </a:xfrm>
        <a:prstGeom prst="rect">
          <a:avLst/>
        </a:prstGeom>
        <a:noFill/>
      </xdr:spPr>
      <xdr:txBody>
        <a:bodyPr wrap="square" lIns="91440" tIns="45720" rIns="91440" bIns="45720">
          <a:noAutofit/>
        </a:bodyPr>
        <a:lstStyle/>
        <a:p>
          <a:pPr algn="ctr"/>
          <a:fld id="{F675CC90-3E11-4B27-AADB-E15CA3267EE4}"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3681703</a:t>
          </a:fld>
          <a:endParaRPr lang="en-US" sz="1800" b="0" cap="none" spc="0">
            <a:ln w="0"/>
            <a:effectLst>
              <a:outerShdw blurRad="38100" dist="19050" dir="2700000" algn="tl" rotWithShape="0">
                <a:schemeClr val="dk1">
                  <a:alpha val="40000"/>
                </a:schemeClr>
              </a:outerShdw>
            </a:effectLst>
          </a:endParaRPr>
        </a:p>
      </xdr:txBody>
    </xdr:sp>
    <xdr:clientData/>
  </xdr:oneCellAnchor>
  <xdr:twoCellAnchor>
    <xdr:from>
      <xdr:col>0</xdr:col>
      <xdr:colOff>17929</xdr:colOff>
      <xdr:row>10</xdr:row>
      <xdr:rowOff>224117</xdr:rowOff>
    </xdr:from>
    <xdr:to>
      <xdr:col>11</xdr:col>
      <xdr:colOff>788895</xdr:colOff>
      <xdr:row>15</xdr:row>
      <xdr:rowOff>403412</xdr:rowOff>
    </xdr:to>
    <xdr:graphicFrame macro="">
      <xdr:nvGraphicFramePr>
        <xdr:cNvPr id="26" name="Chart 25">
          <a:extLst>
            <a:ext uri="{FF2B5EF4-FFF2-40B4-BE49-F238E27FC236}">
              <a16:creationId xmlns:a16="http://schemas.microsoft.com/office/drawing/2014/main" id="{0EA0F836-C930-4F88-8850-34B75D28A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246659</xdr:colOff>
      <xdr:row>3</xdr:row>
      <xdr:rowOff>315594</xdr:rowOff>
    </xdr:from>
    <xdr:ext cx="1035298" cy="311935"/>
    <xdr:sp macro="" textlink="Pivots!C74">
      <xdr:nvSpPr>
        <xdr:cNvPr id="27" name="Rectangle 26">
          <a:extLst>
            <a:ext uri="{FF2B5EF4-FFF2-40B4-BE49-F238E27FC236}">
              <a16:creationId xmlns:a16="http://schemas.microsoft.com/office/drawing/2014/main" id="{32A96B72-0301-DA12-055C-03B4FE1160A8}"/>
            </a:ext>
          </a:extLst>
        </xdr:cNvPr>
        <xdr:cNvSpPr/>
      </xdr:nvSpPr>
      <xdr:spPr>
        <a:xfrm>
          <a:off x="1914094" y="1821665"/>
          <a:ext cx="1035298" cy="311935"/>
        </a:xfrm>
        <a:prstGeom prst="rect">
          <a:avLst/>
        </a:prstGeom>
        <a:noFill/>
      </xdr:spPr>
      <xdr:txBody>
        <a:bodyPr wrap="none" lIns="91440" tIns="45720" rIns="91440" bIns="45720">
          <a:noAutofit/>
        </a:bodyPr>
        <a:lstStyle/>
        <a:p>
          <a:pPr algn="ctr"/>
          <a:fld id="{ECAB1435-C924-4E79-99E0-E0A447748D9D}"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3081997</a:t>
          </a:fld>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539364</xdr:colOff>
      <xdr:row>3</xdr:row>
      <xdr:rowOff>17929</xdr:rowOff>
    </xdr:from>
    <xdr:ext cx="1522518" cy="342786"/>
    <xdr:sp macro="" textlink="">
      <xdr:nvSpPr>
        <xdr:cNvPr id="19" name="Rectangle 18">
          <a:extLst>
            <a:ext uri="{FF2B5EF4-FFF2-40B4-BE49-F238E27FC236}">
              <a16:creationId xmlns:a16="http://schemas.microsoft.com/office/drawing/2014/main" id="{E4AAA633-E964-4235-934E-5043FC0A1CDA}"/>
            </a:ext>
          </a:extLst>
        </xdr:cNvPr>
        <xdr:cNvSpPr/>
      </xdr:nvSpPr>
      <xdr:spPr>
        <a:xfrm>
          <a:off x="3040517" y="1524000"/>
          <a:ext cx="1522518"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Hatch_Rate</a:t>
          </a:r>
        </a:p>
      </xdr:txBody>
    </xdr:sp>
    <xdr:clientData/>
  </xdr:oneCellAnchor>
  <xdr:oneCellAnchor>
    <xdr:from>
      <xdr:col>3</xdr:col>
      <xdr:colOff>691764</xdr:colOff>
      <xdr:row>3</xdr:row>
      <xdr:rowOff>295835</xdr:rowOff>
    </xdr:from>
    <xdr:ext cx="1181860" cy="297962"/>
    <xdr:sp macro="" textlink="Pivots!C77">
      <xdr:nvSpPr>
        <xdr:cNvPr id="28" name="Rectangle 27">
          <a:extLst>
            <a:ext uri="{FF2B5EF4-FFF2-40B4-BE49-F238E27FC236}">
              <a16:creationId xmlns:a16="http://schemas.microsoft.com/office/drawing/2014/main" id="{7A995D87-6F1B-6B8C-1987-C964FFEB8480}"/>
            </a:ext>
          </a:extLst>
        </xdr:cNvPr>
        <xdr:cNvSpPr/>
      </xdr:nvSpPr>
      <xdr:spPr>
        <a:xfrm>
          <a:off x="3192917" y="1801906"/>
          <a:ext cx="1181860" cy="297962"/>
        </a:xfrm>
        <a:prstGeom prst="rect">
          <a:avLst/>
        </a:prstGeom>
        <a:noFill/>
      </xdr:spPr>
      <xdr:txBody>
        <a:bodyPr wrap="square" lIns="91440" tIns="45720" rIns="91440" bIns="45720">
          <a:noAutofit/>
        </a:bodyPr>
        <a:lstStyle/>
        <a:p>
          <a:pPr algn="ctr"/>
          <a:fld id="{FD75031D-A7F4-4F83-BAF7-118B86B19576}"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305.61</a:t>
          </a:fld>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5</xdr:col>
      <xdr:colOff>466165</xdr:colOff>
      <xdr:row>3</xdr:row>
      <xdr:rowOff>71719</xdr:rowOff>
    </xdr:from>
    <xdr:to>
      <xdr:col>7</xdr:col>
      <xdr:colOff>353422</xdr:colOff>
      <xdr:row>4</xdr:row>
      <xdr:rowOff>197771</xdr:rowOff>
    </xdr:to>
    <xdr:sp macro="" textlink="">
      <xdr:nvSpPr>
        <xdr:cNvPr id="29" name="Rectangle: Rounded Corners 28">
          <a:extLst>
            <a:ext uri="{FF2B5EF4-FFF2-40B4-BE49-F238E27FC236}">
              <a16:creationId xmlns:a16="http://schemas.microsoft.com/office/drawing/2014/main" id="{232BAE32-C89B-4580-A16D-EDDB4B6E56FB}"/>
            </a:ext>
          </a:extLst>
        </xdr:cNvPr>
        <xdr:cNvSpPr/>
      </xdr:nvSpPr>
      <xdr:spPr>
        <a:xfrm>
          <a:off x="4634753" y="1577790"/>
          <a:ext cx="1554693" cy="55635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5</xdr:col>
      <xdr:colOff>584187</xdr:colOff>
      <xdr:row>3</xdr:row>
      <xdr:rowOff>44823</xdr:rowOff>
    </xdr:from>
    <xdr:ext cx="1325295" cy="342786"/>
    <xdr:sp macro="" textlink="">
      <xdr:nvSpPr>
        <xdr:cNvPr id="30" name="Rectangle 29">
          <a:extLst>
            <a:ext uri="{FF2B5EF4-FFF2-40B4-BE49-F238E27FC236}">
              <a16:creationId xmlns:a16="http://schemas.microsoft.com/office/drawing/2014/main" id="{8F2CFA91-3C50-4E7B-8178-F47BF979BD7E}"/>
            </a:ext>
          </a:extLst>
        </xdr:cNvPr>
        <xdr:cNvSpPr/>
      </xdr:nvSpPr>
      <xdr:spPr>
        <a:xfrm>
          <a:off x="4752775" y="1550894"/>
          <a:ext cx="1325295"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Blast_Count</a:t>
          </a:r>
        </a:p>
      </xdr:txBody>
    </xdr:sp>
    <xdr:clientData/>
  </xdr:oneCellAnchor>
  <xdr:oneCellAnchor>
    <xdr:from>
      <xdr:col>5</xdr:col>
      <xdr:colOff>566258</xdr:colOff>
      <xdr:row>3</xdr:row>
      <xdr:rowOff>322729</xdr:rowOff>
    </xdr:from>
    <xdr:ext cx="1325295" cy="342786"/>
    <xdr:sp macro="" textlink="Pivots!C80">
      <xdr:nvSpPr>
        <xdr:cNvPr id="31" name="Rectangle 30">
          <a:extLst>
            <a:ext uri="{FF2B5EF4-FFF2-40B4-BE49-F238E27FC236}">
              <a16:creationId xmlns:a16="http://schemas.microsoft.com/office/drawing/2014/main" id="{649E5681-C9F4-D796-7F49-397952B3B471}"/>
            </a:ext>
          </a:extLst>
        </xdr:cNvPr>
        <xdr:cNvSpPr/>
      </xdr:nvSpPr>
      <xdr:spPr>
        <a:xfrm>
          <a:off x="4734846" y="1828800"/>
          <a:ext cx="1325295" cy="342786"/>
        </a:xfrm>
        <a:prstGeom prst="rect">
          <a:avLst/>
        </a:prstGeom>
        <a:noFill/>
      </xdr:spPr>
      <xdr:txBody>
        <a:bodyPr wrap="square" lIns="91440" tIns="45720" rIns="91440" bIns="45720">
          <a:spAutoFit/>
        </a:bodyPr>
        <a:lstStyle/>
        <a:p>
          <a:pPr algn="ctr"/>
          <a:fld id="{69739727-5981-4DDE-9F09-DBD9253294A9}"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348902</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7754629" backgroundQuery="1" createdVersion="8" refreshedVersion="8" minRefreshableVersion="3" recordCount="0" supportSubquery="1" supportAdvancedDrill="1" xr:uid="{F4CEEE41-F0CA-44B1-8ED3-AC2F400FAB52}">
  <cacheSource type="external" connectionId="1"/>
  <cacheFields count="5">
    <cacheField name="[Table2].[Date (Month)].[Date (Month)]" caption="Date (Month)" numFmtId="0" hierarchy="13" level="1">
      <sharedItems count="12">
        <s v="Jan"/>
        <s v="Feb"/>
        <s v="Mar"/>
        <s v="Apr"/>
        <s v="May"/>
        <s v="Jun"/>
        <s v="Jul"/>
        <s v="Aug"/>
        <s v="Sep"/>
        <s v="Oct"/>
        <s v="Nov"/>
        <s v="Dec"/>
      </sharedItems>
    </cacheField>
    <cacheField name="[Measures].[Sum of Mortality_Rate]" caption="Sum of Mortality_Rate" numFmtId="0" hierarchy="21" level="32767"/>
    <cacheField name="[Measures].[Sum of Contamination_Rate]" caption="Sum of Contamination_Rate" numFmtId="0" hierarchy="22"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3"/>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4"/>
      </fieldsUsage>
    </cacheHierarchy>
    <cacheHierarchy uniqueName="[Table2].[Date (Month)]" caption="Date (Month)" attribute="1" defaultMemberUniqueName="[Table2].[Date (Month)].[All]" allUniqueName="[Table2].[Date (Month)].[All]" dimensionUniqueName="[Table2]" displayFolder="" count="2" memberValueDatatype="130" unbalanced="0">
      <fieldsUsage count="2">
        <fieldUsage x="-1"/>
        <fieldUsage x="0"/>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hidden="1">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hidden="1">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8333336" backgroundQuery="1" createdVersion="8" refreshedVersion="8" minRefreshableVersion="3" recordCount="0" supportSubquery="1" supportAdvancedDrill="1" xr:uid="{8FB8C4C1-4CB5-4CC9-A460-C7A92C0C96F1}">
  <cacheSource type="external" connectionId="1"/>
  <cacheFields count="4">
    <cacheField name="[Measures].[Sum of Hatch_Rate]" caption="Sum of Hatch_Rate" numFmtId="0" hierarchy="20" level="32767"/>
    <cacheField name="[Table2].[Batch_ID].[Batch_ID]" caption="Batch_ID" numFmtId="0" level="1">
      <sharedItems count="12">
        <s v="BATCH_1"/>
        <s v="BATCH_10"/>
        <s v="BATCH_11"/>
        <s v="BATCH_12"/>
        <s v="BATCH_2"/>
        <s v="BATCH_3"/>
        <s v="BATCH_4"/>
        <s v="BATCH_5"/>
        <s v="BATCH_6"/>
        <s v="BATCH_7"/>
        <s v="BATCH_8"/>
        <s v="BATCH_9"/>
      </sharedItems>
    </cacheField>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fieldsUsage count="2">
        <fieldUsage x="-1"/>
        <fieldUsage x="1"/>
      </fieldsUsage>
    </cacheHierarchy>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3"/>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hidden="1">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8796298" backgroundQuery="1" createdVersion="8" refreshedVersion="8" minRefreshableVersion="3" recordCount="0" supportSubquery="1" supportAdvancedDrill="1" xr:uid="{E4EF2E01-6945-4CBB-BABE-B24B5CCDE324}">
  <cacheSource type="external" connectionId="1"/>
  <cacheFields count="4">
    <cacheField name="[Table2].[Machine_No].[Machine_No]" caption="Machine_No" numFmtId="0" hierarchy="1" level="1">
      <sharedItems count="31">
        <s v="M10A"/>
        <s v="M10B"/>
        <s v="M10C"/>
        <s v="M1A"/>
        <s v="M1B"/>
        <s v="M1C"/>
        <s v="M2A"/>
        <s v="M2B"/>
        <s v="M2C"/>
        <s v="M3A"/>
        <s v="M3B"/>
        <s v="M3C"/>
        <s v="M4A"/>
        <s v="M4B"/>
        <s v="M4C"/>
        <s v="M5A"/>
        <s v="M5B"/>
        <s v="M5C"/>
        <s v="M6A"/>
        <s v="M6B"/>
        <s v="M6C"/>
        <s v="M7A"/>
        <s v="M7B"/>
        <s v="M7C"/>
        <s v="M8A"/>
        <s v="M8B"/>
        <s v="M8C"/>
        <s v="M9A"/>
        <s v="M9B"/>
        <s v="M9C"/>
        <s v="MSPARE"/>
      </sharedItems>
    </cacheField>
    <cacheField name="[Measures].[Sum of Blast_Count]" caption="Sum of Blast_Count" numFmtId="0" hierarchy="24"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2" memberValueDatatype="130" unbalanced="0">
      <fieldsUsage count="2">
        <fieldUsage x="-1"/>
        <fieldUsage x="0"/>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3"/>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hidden="1">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9027776" backgroundQuery="1" createdVersion="8" refreshedVersion="8" minRefreshableVersion="3" recordCount="0" supportSubquery="1" supportAdvancedDrill="1" xr:uid="{B9D25D88-7EA2-4683-97FC-C3C99C3831A5}">
  <cacheSource type="external" connectionId="1"/>
  <cacheFields count="3">
    <cacheField name="[Measures].[Sum of Total_Units]" caption="Sum of Total_Units" numFmtId="0" hierarchy="17"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1"/>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2"/>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hidden="1">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hidden="1">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9027776" backgroundQuery="1" createdVersion="8" refreshedVersion="8" minRefreshableVersion="3" recordCount="0" supportSubquery="1" supportAdvancedDrill="1" xr:uid="{79CE01A3-D214-491F-9A63-3F1D26E44224}">
  <cacheSource type="external" connectionId="1"/>
  <cacheFields count="3">
    <cacheField name="[Measures].[Sum of Successful_Output]" caption="Sum of Successful_Output" numFmtId="0" hierarchy="25"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1"/>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2"/>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hidden="1">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hidden="1">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9143522" backgroundQuery="1" createdVersion="8" refreshedVersion="8" minRefreshableVersion="3" recordCount="0" supportSubquery="1" supportAdvancedDrill="1" xr:uid="{8AF74BE8-6A9A-471C-83B6-810392C4BC90}">
  <cacheSource type="external" connectionId="1"/>
  <cacheFields count="3">
    <cacheField name="[Measures].[Sum of Hatch_Rate]" caption="Sum of Hatch_Rate" numFmtId="0" hierarchy="20"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1"/>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2"/>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hidden="1">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612759143522" backgroundQuery="1" createdVersion="8" refreshedVersion="8" minRefreshableVersion="3" recordCount="0" supportSubquery="1" supportAdvancedDrill="1" xr:uid="{DD6D603D-E4BA-4FC4-9E3D-16275735675D}">
  <cacheSource type="external" connectionId="1"/>
  <cacheFields count="3">
    <cacheField name="[Measures].[Sum of Blast_Count]" caption="Sum of Blast_Count" numFmtId="0" hierarchy="24" level="32767"/>
    <cacheField name="[Table2].[Date].[Date]" caption="Date" numFmtId="0" hierarchy="2" level="1">
      <sharedItems containsSemiMixedTypes="0" containsNonDate="0" containsString="0"/>
    </cacheField>
    <cacheField name="[Table2].[Alert].[Alert]" caption="Alert" numFmtId="0" hierarchy="12" level="1">
      <sharedItems containsSemiMixedTypes="0" containsNonDate="0" containsString="0"/>
    </cacheField>
  </cacheFields>
  <cacheHierarchies count="2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fieldsUsage count="2">
        <fieldUsage x="-1"/>
        <fieldUsage x="1"/>
      </fieldsUsage>
    </cacheHierarchy>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fieldsUsage count="2">
        <fieldUsage x="-1"/>
        <fieldUsage x="2"/>
      </fieldsUsage>
    </cacheHierarchy>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Units]" caption="Sum of Total_Units" measure="1" displayFolder="" measureGroup="Table2" count="0" hidden="1">
      <extLst>
        <ext xmlns:x15="http://schemas.microsoft.com/office/spreadsheetml/2010/11/main" uri="{B97F6D7D-B522-45F9-BDA1-12C45D357490}">
          <x15:cacheHierarchy aggregatedColumn="4"/>
        </ext>
      </extLst>
    </cacheHierarchy>
    <cacheHierarchy uniqueName="[Measures].[Sum of Mortality_Count]" caption="Sum of Mortality_Count" measure="1" displayFolder="" measureGroup="Table2" count="0" hidden="1">
      <extLst>
        <ext xmlns:x15="http://schemas.microsoft.com/office/spreadsheetml/2010/11/main" uri="{B97F6D7D-B522-45F9-BDA1-12C45D357490}">
          <x15:cacheHierarchy aggregatedColumn="6"/>
        </ext>
      </extLst>
    </cacheHierarchy>
    <cacheHierarchy uniqueName="[Measures].[Sum of Contamination_Count]" caption="Sum of Contamination_Count" measure="1" displayFolder="" measureGroup="Table2" count="0" hidden="1">
      <extLst>
        <ext xmlns:x15="http://schemas.microsoft.com/office/spreadsheetml/2010/11/main" uri="{B97F6D7D-B522-45F9-BDA1-12C45D357490}">
          <x15:cacheHierarchy aggregatedColumn="7"/>
        </ext>
      </extLst>
    </cacheHierarchy>
    <cacheHierarchy uniqueName="[Measures].[Sum of Hatch_Rate]" caption="Sum of Hatch_Rate" measure="1" displayFolder="" measureGroup="Table2" count="0" hidden="1">
      <extLst>
        <ext xmlns:x15="http://schemas.microsoft.com/office/spreadsheetml/2010/11/main" uri="{B97F6D7D-B522-45F9-BDA1-12C45D357490}">
          <x15:cacheHierarchy aggregatedColumn="9"/>
        </ext>
      </extLst>
    </cacheHierarchy>
    <cacheHierarchy uniqueName="[Measures].[Sum of Mortality_Rate]" caption="Sum of Mortality_Rate" measure="1" displayFolder="" measureGroup="Table2" count="0" hidden="1">
      <extLst>
        <ext xmlns:x15="http://schemas.microsoft.com/office/spreadsheetml/2010/11/main" uri="{B97F6D7D-B522-45F9-BDA1-12C45D357490}">
          <x15:cacheHierarchy aggregatedColumn="10"/>
        </ext>
      </extLst>
    </cacheHierarchy>
    <cacheHierarchy uniqueName="[Measures].[Sum of Contamination_Rate]" caption="Sum of Contamination_Rate" measure="1" displayFolder="" measureGroup="Table2" count="0" hidden="1">
      <extLst>
        <ext xmlns:x15="http://schemas.microsoft.com/office/spreadsheetml/2010/11/main" uri="{B97F6D7D-B522-45F9-BDA1-12C45D357490}">
          <x15:cacheHierarchy aggregatedColumn="11"/>
        </ext>
      </extLst>
    </cacheHierarchy>
    <cacheHierarchy uniqueName="[Measures].[Count of Alert]" caption="Count of Alert" measure="1" displayFolder="" measureGroup="Table2" count="0" hidden="1">
      <extLst>
        <ext xmlns:x15="http://schemas.microsoft.com/office/spreadsheetml/2010/11/main" uri="{B97F6D7D-B522-45F9-BDA1-12C45D357490}">
          <x15:cacheHierarchy aggregatedColumn="12"/>
        </ext>
      </extLst>
    </cacheHierarchy>
    <cacheHierarchy uniqueName="[Measures].[Sum of Blast_Count]" caption="Sum of Blast_Count"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uccessful_Output]" caption="Sum of Successful_Output" measure="1" displayFolder="" measureGroup="Table2" count="0" hidden="1">
      <extLst>
        <ext xmlns:x15="http://schemas.microsoft.com/office/spreadsheetml/2010/11/main" uri="{B97F6D7D-B522-45F9-BDA1-12C45D357490}">
          <x15:cacheHierarchy aggregatedColumn="5"/>
        </ext>
      </extLst>
    </cacheHierarchy>
    <cacheHierarchy uniqueName="[Measures].[Count of Machine_No]" caption="Count of Machine_No"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565287384263" backgroundQuery="1" createdVersion="3" refreshedVersion="8" minRefreshableVersion="3" recordCount="0" supportSubquery="1" supportAdvancedDrill="1" xr:uid="{F13AA026-6B62-497E-8841-7D947ACEEB4F}">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2].[Batch_ID]" caption="Batch_ID" attribute="1" defaultMemberUniqueName="[Table2].[Batch_ID].[All]" allUniqueName="[Table2].[Batch_ID].[All]" dimensionUniqueName="[Table2]" displayFolder="" count="2"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2"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683975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refreshedDate="46139.565288888887" backgroundQuery="1" createdVersion="3" refreshedVersion="8" minRefreshableVersion="3" recordCount="0" supportSubquery="1" supportAdvancedDrill="1" xr:uid="{504B5748-F670-474D-9CAD-AC313328A2C6}">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2].[Batch_ID]" caption="Batch_ID" attribute="1" defaultMemberUniqueName="[Table2].[Batch_ID].[All]" allUniqueName="[Table2].[Batch_ID].[All]" dimensionUniqueName="[Table2]" displayFolder="" count="0" memberValueDatatype="130" unbalanced="0"/>
    <cacheHierarchy uniqueName="[Table2].[Machine_No]" caption="Machine_No" attribute="1" defaultMemberUniqueName="[Table2].[Machine_No].[All]" allUniqueName="[Table2].[Machine_No].[All]" dimensionUniqueName="[Table2]" displayFolder="" count="0" memberValueDatatype="130" unbalanced="0"/>
    <cacheHierarchy uniqueName="[Table2].[Date]" caption="Date" attribute="1" time="1" defaultMemberUniqueName="[Table2].[Date].[All]" allUniqueName="[Table2].[Date].[All]" dimensionUniqueName="[Table2]" displayFolder="" count="2" memberValueDatatype="7" unbalanced="0"/>
    <cacheHierarchy uniqueName="[Table2].[Month]" caption="Month" attribute="1" defaultMemberUniqueName="[Table2].[Month].[All]" allUniqueName="[Table2].[Month].[All]" dimensionUniqueName="[Table2]" displayFolder="" count="0" memberValueDatatype="130" unbalanced="0"/>
    <cacheHierarchy uniqueName="[Table2].[Total_Units]" caption="Total_Units" attribute="1" defaultMemberUniqueName="[Table2].[Total_Units].[All]" allUniqueName="[Table2].[Total_Units].[All]" dimensionUniqueName="[Table2]" displayFolder="" count="0" memberValueDatatype="20" unbalanced="0"/>
    <cacheHierarchy uniqueName="[Table2].[Successful_Output]" caption="Successful_Output" attribute="1" defaultMemberUniqueName="[Table2].[Successful_Output].[All]" allUniqueName="[Table2].[Successful_Output].[All]" dimensionUniqueName="[Table2]" displayFolder="" count="0" memberValueDatatype="20" unbalanced="0"/>
    <cacheHierarchy uniqueName="[Table2].[Mortality_Count]" caption="Mortality_Count" attribute="1" defaultMemberUniqueName="[Table2].[Mortality_Count].[All]" allUniqueName="[Table2].[Mortality_Count].[All]" dimensionUniqueName="[Table2]" displayFolder="" count="0" memberValueDatatype="20" unbalanced="0"/>
    <cacheHierarchy uniqueName="[Table2].[Contamination_Count]" caption="Contamination_Count" attribute="1" defaultMemberUniqueName="[Table2].[Contamination_Count].[All]" allUniqueName="[Table2].[Contamination_Count].[All]" dimensionUniqueName="[Table2]" displayFolder="" count="0" memberValueDatatype="20" unbalanced="0"/>
    <cacheHierarchy uniqueName="[Table2].[Blast_Count]" caption="Blast_Count" attribute="1" defaultMemberUniqueName="[Table2].[Blast_Count].[All]" allUniqueName="[Table2].[Blast_Count].[All]" dimensionUniqueName="[Table2]" displayFolder="" count="0" memberValueDatatype="20" unbalanced="0"/>
    <cacheHierarchy uniqueName="[Table2].[Hatch_Rate]" caption="Hatch_Rate" attribute="1" defaultMemberUniqueName="[Table2].[Hatch_Rate].[All]" allUniqueName="[Table2].[Hatch_Rate].[All]" dimensionUniqueName="[Table2]" displayFolder="" count="0" memberValueDatatype="5" unbalanced="0"/>
    <cacheHierarchy uniqueName="[Table2].[Mortality_Rate]" caption="Mortality_Rate" attribute="1" defaultMemberUniqueName="[Table2].[Mortality_Rate].[All]" allUniqueName="[Table2].[Mortality_Rate].[All]" dimensionUniqueName="[Table2]" displayFolder="" count="0" memberValueDatatype="5" unbalanced="0"/>
    <cacheHierarchy uniqueName="[Table2].[Contamination_Rate]" caption="Contamination_Rate" attribute="1" defaultMemberUniqueName="[Table2].[Contamination_Rate].[All]" allUniqueName="[Table2].[Contamination_Rate].[All]" dimensionUniqueName="[Table2]" displayFolder="" count="0" memberValueDatatype="5" unbalanced="0"/>
    <cacheHierarchy uniqueName="[Table2].[Alert]" caption="Alert" attribute="1" defaultMemberUniqueName="[Table2].[Alert].[All]" allUniqueName="[Table2].[Alert].[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905254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A0419-7C8A-4A31-8E88-2964FFBC349E}" name="PivotTable14" cacheId="20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4">
  <location ref="A79:A8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Blast_Count" fld="0" baseField="0" baseItem="0"/>
  </dataField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44986A-3B06-42AF-B7B7-EA8EA5CF4332}" name="PivotTable13" cacheId="20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4">
  <location ref="A76:A7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Hatch_Rate" fld="0" baseField="0" baseItem="0"/>
  </dataField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CEB464-FB80-4109-8C1B-A6463EBE1264}" name="PivotTable12" cacheId="200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4">
  <location ref="A73:A7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uccessful_Output" fld="0" baseField="0" baseItem="0"/>
  </dataField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F4F33C-3DC3-41EF-B8E8-636054CA240E}" name="PivotTable11" cacheId="200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4">
  <location ref="A70:A7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Units2" fld="0" baseField="0" baseItem="0"/>
  </dataField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05857-514B-47A6-9EE9-A0330EB22256}" name="PivotTable10" cacheId="200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3">
  <location ref="A34:B6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Blast_Count" fld="1" baseField="0" baseItem="0"/>
  </dataFields>
  <chartFormats count="2">
    <chartFormat chart="69" format="0"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1DD79A-A401-4D33-993B-01805061C65F}" name="PivotTable6" cacheId="199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4">
  <location ref="A18:B31"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Hatch_Rate" fld="0" showDataAs="percentOfTotal" baseField="0" baseItem="0" numFmtId="10"/>
  </dataFields>
  <chartFormats count="2">
    <chartFormat chart="59"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426EF-B363-4A2B-A66E-A7FBD93B4073}" name="PivotTable5" cacheId="199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3:C16" firstHeaderRow="0" firstDataRow="1" firstDataCol="1"/>
  <pivotFields count="5">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Mortality_Rate" fld="1" baseField="0" baseItem="0"/>
    <dataField name="Sum of Contamination_Rate" fld="2"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3" name="[Table2].[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dy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ch_ID" xr10:uid="{45792A68-0A83-4416-B285-156E705ACAC2}" sourceName="[Table2].[Batch_ID]">
  <pivotTables>
    <pivotTable tabId="10" name="PivotTable5"/>
    <pivotTable tabId="10" name="PivotTable6"/>
    <pivotTable tabId="10" name="PivotTable10"/>
    <pivotTable tabId="10" name="PivotTable11"/>
    <pivotTable tabId="10" name="PivotTable12"/>
    <pivotTable tabId="10" name="PivotTable13"/>
    <pivotTable tabId="10" name="PivotTable14"/>
  </pivotTables>
  <data>
    <olap pivotCacheId="1276839759">
      <levels count="2">
        <level uniqueName="[Table2].[Batch_ID].[(All)]" sourceCaption="(All)" count="0"/>
        <level uniqueName="[Table2].[Batch_ID].[Batch_ID]" sourceCaption="Batch_ID" count="12">
          <ranges>
            <range startItem="0">
              <i n="[Table2].[Batch_ID].&amp;[BATCH_1]" c="BATCH_1"/>
              <i n="[Table2].[Batch_ID].&amp;[BATCH_10]" c="BATCH_10"/>
              <i n="[Table2].[Batch_ID].&amp;[BATCH_11]" c="BATCH_11"/>
              <i n="[Table2].[Batch_ID].&amp;[BATCH_12]" c="BATCH_12"/>
              <i n="[Table2].[Batch_ID].&amp;[BATCH_2]" c="BATCH_2"/>
              <i n="[Table2].[Batch_ID].&amp;[BATCH_3]" c="BATCH_3"/>
              <i n="[Table2].[Batch_ID].&amp;[BATCH_4]" c="BATCH_4"/>
              <i n="[Table2].[Batch_ID].&amp;[BATCH_5]" c="BATCH_5"/>
              <i n="[Table2].[Batch_ID].&amp;[BATCH_6]" c="BATCH_6"/>
              <i n="[Table2].[Batch_ID].&amp;[BATCH_7]" c="BATCH_7"/>
              <i n="[Table2].[Batch_ID].&amp;[BATCH_8]" c="BATCH_8"/>
              <i n="[Table2].[Batch_ID].&amp;[BATCH_9]" c="BATCH_9"/>
            </range>
          </ranges>
        </level>
      </levels>
      <selections count="1">
        <selection n="[Table2].[Batch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rt" xr10:uid="{5058C678-0A72-4F17-84E7-6612028F6C46}" sourceName="[Table2].[Alert]">
  <pivotTables>
    <pivotTable tabId="10" name="PivotTable5"/>
    <pivotTable tabId="10" name="PivotTable6"/>
    <pivotTable tabId="10" name="PivotTable10"/>
    <pivotTable tabId="10" name="PivotTable11"/>
    <pivotTable tabId="10" name="PivotTable12"/>
    <pivotTable tabId="10" name="PivotTable13"/>
    <pivotTable tabId="10" name="PivotTable14"/>
  </pivotTables>
  <data>
    <olap pivotCacheId="1276839759">
      <levels count="2">
        <level uniqueName="[Table2].[Alert].[(All)]" sourceCaption="(All)" count="0"/>
        <level uniqueName="[Table2].[Alert].[Alert]" sourceCaption="Alert" count="2">
          <ranges>
            <range startItem="0">
              <i n="[Table2].[Alert].&amp;[High Risk]" c="High Risk"/>
              <i n="[Table2].[Alert].&amp;[Normal]" c="Normal"/>
            </range>
          </ranges>
        </level>
      </levels>
      <selections count="1">
        <selection n="[Table2].[Ale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tch_ID" xr10:uid="{F951C8D9-04CE-4ED5-9759-CEB1B5988609}" cache="Slicer_Batch_ID" caption="Batch_ID" columnCount="3" level="1" rowHeight="234950"/>
  <slicer name="Alert" xr10:uid="{8D711634-07B0-4E8F-9815-C7B67EC5BF6B}" cache="Slicer_Alert" caption="Alert"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tch_ID 1" xr10:uid="{1C8F4B9C-737A-43DE-B731-D39C8AF24C78}" cache="Slicer_Batch_ID" caption="Batch_ID" columnCount="3" level="1" rowHeight="234950"/>
  <slicer name="Alert 1" xr10:uid="{2AF123BB-5304-41C8-A26E-62CA69B90298}" cache="Slicer_Alert" caption="Alert"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06EBD0-FE69-4D4F-95A9-F6AC98817910}" name="Table2" displayName="Table2" ref="A1:M366" totalsRowShown="0">
  <autoFilter ref="A1:M366" xr:uid="{B306EBD0-FE69-4D4F-95A9-F6AC98817910}"/>
  <sortState xmlns:xlrd2="http://schemas.microsoft.com/office/spreadsheetml/2017/richdata2" ref="A2:M366">
    <sortCondition ref="C1:C366"/>
  </sortState>
  <tableColumns count="13">
    <tableColumn id="1" xr3:uid="{C92C2ABF-4C10-41BA-9BD3-A1514810DDA4}" name="Batch_ID"/>
    <tableColumn id="14" xr3:uid="{6B516077-B062-4A7D-89C9-7499F53B563A}" name="Machine_No"/>
    <tableColumn id="2" xr3:uid="{6C7E546E-6D9C-45E8-9513-E2AC1A986554}" name="Date"/>
    <tableColumn id="11" xr3:uid="{52354930-F976-407B-A6EC-29776D2C0D7D}" name="Month"/>
    <tableColumn id="3" xr3:uid="{A77069E3-54F7-4DAA-B6AA-651B8E997586}" name="Total_Units"/>
    <tableColumn id="4" xr3:uid="{646D7711-5554-435E-AA70-01591F9B1E31}" name="Successful_Output"/>
    <tableColumn id="5" xr3:uid="{F61C1605-FA73-45F0-AA8D-7F5C7DD58DE7}" name="Mortality_Count"/>
    <tableColumn id="6" xr3:uid="{E8E6A028-F85D-471A-9216-5F62DC1136F9}" name="Contamination_Count"/>
    <tableColumn id="12" xr3:uid="{EA58E66D-4BD4-40B7-9F04-AD1C3AAB0C04}" name="Blast_Count" dataDxfId="3">
      <calculatedColumnFormula>Table2[[#This Row],[Total_Units]]-Table2[[#This Row],[Successful_Output]]-Table2[[#This Row],[Mortality_Count]]-Table2[[#This Row],[Contamination_Count]]</calculatedColumnFormula>
    </tableColumn>
    <tableColumn id="7" xr3:uid="{83A54B01-3971-4EDD-9A1A-F4B811054129}" name="Hatch_Rate" dataDxfId="2">
      <calculatedColumnFormula>F2/E2</calculatedColumnFormula>
    </tableColumn>
    <tableColumn id="8" xr3:uid="{B84CF023-ADD5-4666-A752-E55DEC273128}" name="Mortality_Rate" dataDxfId="1">
      <calculatedColumnFormula>G2/E2</calculatedColumnFormula>
    </tableColumn>
    <tableColumn id="9" xr3:uid="{4DFBD0CD-1879-40D3-A1F0-47121BD2EB39}" name="Contamination_Rate" dataDxfId="0">
      <calculatedColumnFormula>H2/E2</calculatedColumnFormula>
    </tableColumn>
    <tableColumn id="10" xr3:uid="{F597050E-C793-4E68-B5F1-BC3F9BAF107A}" name="Alert">
      <calculatedColumnFormula>IF(G2/E2&gt;0.06,"High Risk","Normal")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D0B7C09-02A0-484D-9DB2-9D898035D958}" sourceName="[Table2].[Date]">
  <pivotTables>
    <pivotTable tabId="10" name="PivotTable5"/>
    <pivotTable tabId="10" name="PivotTable6"/>
    <pivotTable tabId="10" name="PivotTable10"/>
    <pivotTable tabId="10" name="PivotTable11"/>
    <pivotTable tabId="10" name="PivotTable12"/>
    <pivotTable tabId="10" name="PivotTable13"/>
    <pivotTable tabId="10" name="PivotTable14"/>
  </pivotTables>
  <state minimalRefreshVersion="6" lastRefreshVersion="6" pivotCacheId="1390525469" filterType="dateBetween">
    <selection startDate="2025-01-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17CFD94-958E-41CF-9958-C1AE586516A5}" cache="Timeline_Date" caption="Date" showHorizontalScrollbar="0" level="2"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4A046F6-DBC2-4976-9320-CD5FA30D6546}" cache="Timeline_Date" caption="Date" showHeader="0" showSelectionLabel="0" showTimeLevel="0" showHorizontalScrollbar="0" level="2" selectionLevel="0"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6"/>
  <sheetViews>
    <sheetView topLeftCell="A2" workbookViewId="0">
      <selection activeCell="B7" sqref="B7"/>
    </sheetView>
  </sheetViews>
  <sheetFormatPr defaultRowHeight="14.4" x14ac:dyDescent="0.3"/>
  <cols>
    <col min="1" max="2" width="13.88671875" customWidth="1"/>
    <col min="3" max="4" width="13" customWidth="1"/>
    <col min="5" max="5" width="12.44140625" customWidth="1"/>
    <col min="6" max="6" width="18.5546875" customWidth="1"/>
    <col min="7" max="7" width="16.77734375" customWidth="1"/>
    <col min="8" max="9" width="21.5546875" customWidth="1"/>
    <col min="10" max="10" width="14.88671875" customWidth="1"/>
    <col min="11" max="11" width="15.44140625" customWidth="1"/>
    <col min="12" max="12" width="20.21875" customWidth="1"/>
    <col min="13" max="13" width="12.5546875" customWidth="1"/>
  </cols>
  <sheetData>
    <row r="1" spans="1:13" x14ac:dyDescent="0.3">
      <c r="A1" t="s">
        <v>0</v>
      </c>
      <c r="B1" t="s">
        <v>70</v>
      </c>
      <c r="C1" s="4" t="s">
        <v>1</v>
      </c>
      <c r="D1" t="s">
        <v>13</v>
      </c>
      <c r="E1" t="s">
        <v>2</v>
      </c>
      <c r="F1" t="s">
        <v>3</v>
      </c>
      <c r="G1" t="s">
        <v>4</v>
      </c>
      <c r="H1" t="s">
        <v>5</v>
      </c>
      <c r="I1" t="s">
        <v>26</v>
      </c>
      <c r="J1" t="s">
        <v>6</v>
      </c>
      <c r="K1" t="s">
        <v>7</v>
      </c>
      <c r="L1" t="s">
        <v>8</v>
      </c>
      <c r="M1" t="s">
        <v>9</v>
      </c>
    </row>
    <row r="2" spans="1:13" x14ac:dyDescent="0.3">
      <c r="A2" t="s">
        <v>27</v>
      </c>
      <c r="B2" t="s">
        <v>39</v>
      </c>
      <c r="C2" s="4">
        <v>45658</v>
      </c>
      <c r="D2" t="s">
        <v>14</v>
      </c>
      <c r="E2">
        <v>9634</v>
      </c>
      <c r="F2">
        <v>8500</v>
      </c>
      <c r="G2">
        <v>756</v>
      </c>
      <c r="H2">
        <v>232</v>
      </c>
      <c r="I2">
        <f>Table2[[#This Row],[Total_Units]]-Table2[[#This Row],[Successful_Output]]-Table2[[#This Row],[Mortality_Count]]-Table2[[#This Row],[Contamination_Count]]</f>
        <v>146</v>
      </c>
      <c r="J2" s="6">
        <f>F2/E2</f>
        <v>0.88229188291467719</v>
      </c>
      <c r="K2" s="6">
        <f>G2/E2</f>
        <v>7.8472078056881875E-2</v>
      </c>
      <c r="L2" s="6">
        <f>H2/E2</f>
        <v>2.4081378451318247E-2</v>
      </c>
      <c r="M2" t="str">
        <f>IF(G2/E2&gt;0.06,"High Risk","Normal")</f>
        <v>High Risk</v>
      </c>
    </row>
    <row r="3" spans="1:13" x14ac:dyDescent="0.3">
      <c r="A3" t="s">
        <v>27</v>
      </c>
      <c r="B3" t="s">
        <v>40</v>
      </c>
      <c r="C3" s="4">
        <v>45659</v>
      </c>
      <c r="D3" t="s">
        <v>14</v>
      </c>
      <c r="E3">
        <v>11248</v>
      </c>
      <c r="F3">
        <v>8973</v>
      </c>
      <c r="G3">
        <v>786</v>
      </c>
      <c r="H3">
        <v>303</v>
      </c>
      <c r="I3">
        <f>Table2[[#This Row],[Total_Units]]-Table2[[#This Row],[Successful_Output]]-Table2[[#This Row],[Mortality_Count]]-Table2[[#This Row],[Contamination_Count]]</f>
        <v>1186</v>
      </c>
      <c r="J3" s="6">
        <f>F3/E3</f>
        <v>0.7977418207681366</v>
      </c>
      <c r="K3" s="6">
        <f>G3/E3</f>
        <v>6.9879089615931728E-2</v>
      </c>
      <c r="L3" s="6">
        <f>H3/E3</f>
        <v>2.6938122332859176E-2</v>
      </c>
      <c r="M3" t="str">
        <f>IF(G3/E3&gt;0.06,"High Risk","Normal")</f>
        <v>High Risk</v>
      </c>
    </row>
    <row r="4" spans="1:13" x14ac:dyDescent="0.3">
      <c r="A4" t="s">
        <v>27</v>
      </c>
      <c r="B4" t="s">
        <v>49</v>
      </c>
      <c r="C4" s="4">
        <v>45660</v>
      </c>
      <c r="D4" t="s">
        <v>14</v>
      </c>
      <c r="E4">
        <v>8377</v>
      </c>
      <c r="F4">
        <v>6781</v>
      </c>
      <c r="G4">
        <v>177</v>
      </c>
      <c r="H4">
        <v>175</v>
      </c>
      <c r="I4">
        <f>Table2[[#This Row],[Total_Units]]-Table2[[#This Row],[Successful_Output]]-Table2[[#This Row],[Mortality_Count]]-Table2[[#This Row],[Contamination_Count]]</f>
        <v>1244</v>
      </c>
      <c r="J4" s="6">
        <f>F4/E4</f>
        <v>0.80947833353229082</v>
      </c>
      <c r="K4" s="6">
        <f>G4/E4</f>
        <v>2.1129282559388802E-2</v>
      </c>
      <c r="L4" s="6">
        <f>H4/E4</f>
        <v>2.0890533603915483E-2</v>
      </c>
      <c r="M4" t="str">
        <f>IF(G4/E4&gt;0.06,"High Risk","Normal")</f>
        <v>Normal</v>
      </c>
    </row>
    <row r="5" spans="1:13" x14ac:dyDescent="0.3">
      <c r="A5" t="s">
        <v>27</v>
      </c>
      <c r="B5" t="s">
        <v>41</v>
      </c>
      <c r="C5" s="4">
        <v>45661</v>
      </c>
      <c r="D5" t="s">
        <v>14</v>
      </c>
      <c r="E5">
        <v>10795</v>
      </c>
      <c r="F5">
        <v>9345</v>
      </c>
      <c r="G5">
        <v>644</v>
      </c>
      <c r="H5">
        <v>103</v>
      </c>
      <c r="I5">
        <f>Table2[[#This Row],[Total_Units]]-Table2[[#This Row],[Successful_Output]]-Table2[[#This Row],[Mortality_Count]]-Table2[[#This Row],[Contamination_Count]]</f>
        <v>703</v>
      </c>
      <c r="J5" s="6">
        <f>F5/E5</f>
        <v>0.86567855488652157</v>
      </c>
      <c r="K5" s="6">
        <f>G5/E5</f>
        <v>5.9657248726262158E-2</v>
      </c>
      <c r="L5" s="6">
        <f>H5/E5</f>
        <v>9.541454377026401E-3</v>
      </c>
      <c r="M5" t="str">
        <f>IF(G5/E5&gt;0.06,"High Risk","Normal")</f>
        <v>Normal</v>
      </c>
    </row>
    <row r="6" spans="1:13" x14ac:dyDescent="0.3">
      <c r="A6" t="s">
        <v>27</v>
      </c>
      <c r="B6" t="s">
        <v>42</v>
      </c>
      <c r="C6" s="4">
        <v>45662</v>
      </c>
      <c r="D6" t="s">
        <v>14</v>
      </c>
      <c r="E6">
        <v>9561</v>
      </c>
      <c r="F6">
        <v>7487</v>
      </c>
      <c r="G6">
        <v>614</v>
      </c>
      <c r="H6">
        <v>197</v>
      </c>
      <c r="I6">
        <f>Table2[[#This Row],[Total_Units]]-Table2[[#This Row],[Successful_Output]]-Table2[[#This Row],[Mortality_Count]]-Table2[[#This Row],[Contamination_Count]]</f>
        <v>1263</v>
      </c>
      <c r="J6" s="6">
        <f>F6/E6</f>
        <v>0.78307708398703069</v>
      </c>
      <c r="K6" s="6">
        <f>G6/E6</f>
        <v>6.4219223930551197E-2</v>
      </c>
      <c r="L6" s="6">
        <f>H6/E6</f>
        <v>2.0604539274134505E-2</v>
      </c>
      <c r="M6" t="str">
        <f>IF(G6/E6&gt;0.06,"High Risk","Normal")</f>
        <v>High Risk</v>
      </c>
    </row>
    <row r="7" spans="1:13" x14ac:dyDescent="0.3">
      <c r="A7" t="s">
        <v>27</v>
      </c>
      <c r="B7" t="s">
        <v>50</v>
      </c>
      <c r="C7" s="4">
        <v>45663</v>
      </c>
      <c r="D7" t="s">
        <v>14</v>
      </c>
      <c r="E7">
        <v>9736</v>
      </c>
      <c r="F7">
        <v>8668</v>
      </c>
      <c r="G7">
        <v>474</v>
      </c>
      <c r="H7">
        <v>200</v>
      </c>
      <c r="I7">
        <f>Table2[[#This Row],[Total_Units]]-Table2[[#This Row],[Successful_Output]]-Table2[[#This Row],[Mortality_Count]]-Table2[[#This Row],[Contamination_Count]]</f>
        <v>394</v>
      </c>
      <c r="J7" s="6">
        <f>F7/E7</f>
        <v>0.89030402629416594</v>
      </c>
      <c r="K7" s="6">
        <f>G7/E7</f>
        <v>4.8685291700903861E-2</v>
      </c>
      <c r="L7" s="6">
        <f>H7/E7</f>
        <v>2.0542317173377157E-2</v>
      </c>
      <c r="M7" t="str">
        <f>IF(G7/E7&gt;0.06,"High Risk","Normal")</f>
        <v>Normal</v>
      </c>
    </row>
    <row r="8" spans="1:13" x14ac:dyDescent="0.3">
      <c r="A8" t="s">
        <v>27</v>
      </c>
      <c r="B8" t="s">
        <v>43</v>
      </c>
      <c r="C8" s="4">
        <v>45664</v>
      </c>
      <c r="D8" t="s">
        <v>14</v>
      </c>
      <c r="E8">
        <v>11358</v>
      </c>
      <c r="F8">
        <v>9414</v>
      </c>
      <c r="G8">
        <v>846</v>
      </c>
      <c r="H8">
        <v>335</v>
      </c>
      <c r="I8">
        <f>Table2[[#This Row],[Total_Units]]-Table2[[#This Row],[Successful_Output]]-Table2[[#This Row],[Mortality_Count]]-Table2[[#This Row],[Contamination_Count]]</f>
        <v>763</v>
      </c>
      <c r="J8" s="6">
        <f>F8/E8</f>
        <v>0.82884310618066559</v>
      </c>
      <c r="K8" s="6">
        <f>G8/E8</f>
        <v>7.448494453248812E-2</v>
      </c>
      <c r="L8" s="6">
        <f>H8/E8</f>
        <v>2.949462933615073E-2</v>
      </c>
      <c r="M8" t="str">
        <f>IF(G8/E8&gt;0.06,"High Risk","Normal")</f>
        <v>High Risk</v>
      </c>
    </row>
    <row r="9" spans="1:13" x14ac:dyDescent="0.3">
      <c r="A9" t="s">
        <v>27</v>
      </c>
      <c r="B9" t="s">
        <v>44</v>
      </c>
      <c r="C9" s="4">
        <v>45665</v>
      </c>
      <c r="D9" t="s">
        <v>14</v>
      </c>
      <c r="E9">
        <v>10883</v>
      </c>
      <c r="F9">
        <v>8869</v>
      </c>
      <c r="G9">
        <v>655</v>
      </c>
      <c r="H9">
        <v>128</v>
      </c>
      <c r="I9">
        <f>Table2[[#This Row],[Total_Units]]-Table2[[#This Row],[Successful_Output]]-Table2[[#This Row],[Mortality_Count]]-Table2[[#This Row],[Contamination_Count]]</f>
        <v>1231</v>
      </c>
      <c r="J9" s="6">
        <f>F9/E9</f>
        <v>0.81494073325369842</v>
      </c>
      <c r="K9" s="6">
        <f>G9/E9</f>
        <v>6.0185610585316546E-2</v>
      </c>
      <c r="L9" s="6">
        <f>H9/E9</f>
        <v>1.1761462831939722E-2</v>
      </c>
      <c r="M9" t="str">
        <f>IF(G9/E9&gt;0.06,"High Risk","Normal")</f>
        <v>High Risk</v>
      </c>
    </row>
    <row r="10" spans="1:13" x14ac:dyDescent="0.3">
      <c r="A10" t="s">
        <v>27</v>
      </c>
      <c r="B10" t="s">
        <v>51</v>
      </c>
      <c r="C10" s="4">
        <v>45666</v>
      </c>
      <c r="D10" t="s">
        <v>14</v>
      </c>
      <c r="E10">
        <v>10862</v>
      </c>
      <c r="F10">
        <v>8220</v>
      </c>
      <c r="G10">
        <v>850</v>
      </c>
      <c r="H10">
        <v>224</v>
      </c>
      <c r="I10">
        <f>Table2[[#This Row],[Total_Units]]-Table2[[#This Row],[Successful_Output]]-Table2[[#This Row],[Mortality_Count]]-Table2[[#This Row],[Contamination_Count]]</f>
        <v>1568</v>
      </c>
      <c r="J10" s="6">
        <f>F10/E10</f>
        <v>0.75676670962990245</v>
      </c>
      <c r="K10" s="6">
        <f>G10/E10</f>
        <v>7.8254465107714971E-2</v>
      </c>
      <c r="L10" s="6">
        <f>H10/E10</f>
        <v>2.0622353157797826E-2</v>
      </c>
      <c r="M10" t="str">
        <f>IF(G10/E10&gt;0.06,"High Risk","Normal")</f>
        <v>High Risk</v>
      </c>
    </row>
    <row r="11" spans="1:13" x14ac:dyDescent="0.3">
      <c r="A11" t="s">
        <v>27</v>
      </c>
      <c r="B11" t="s">
        <v>45</v>
      </c>
      <c r="C11" s="4">
        <v>45667</v>
      </c>
      <c r="D11" t="s">
        <v>14</v>
      </c>
      <c r="E11">
        <v>9603</v>
      </c>
      <c r="F11">
        <v>7519</v>
      </c>
      <c r="G11">
        <v>735</v>
      </c>
      <c r="H11">
        <v>141</v>
      </c>
      <c r="I11">
        <f>Table2[[#This Row],[Total_Units]]-Table2[[#This Row],[Successful_Output]]-Table2[[#This Row],[Mortality_Count]]-Table2[[#This Row],[Contamination_Count]]</f>
        <v>1208</v>
      </c>
      <c r="J11" s="6">
        <f>F11/E11</f>
        <v>0.78298448401541187</v>
      </c>
      <c r="K11" s="6">
        <f>G11/E11</f>
        <v>7.6538581693220864E-2</v>
      </c>
      <c r="L11" s="6">
        <f>H11/E11</f>
        <v>1.4682911590128085E-2</v>
      </c>
      <c r="M11" t="str">
        <f>IF(G11/E11&gt;0.06,"High Risk","Normal")</f>
        <v>High Risk</v>
      </c>
    </row>
    <row r="12" spans="1:13" x14ac:dyDescent="0.3">
      <c r="A12" t="s">
        <v>27</v>
      </c>
      <c r="B12" t="s">
        <v>46</v>
      </c>
      <c r="C12" s="4">
        <v>45668</v>
      </c>
      <c r="D12" t="s">
        <v>14</v>
      </c>
      <c r="E12">
        <v>8786</v>
      </c>
      <c r="F12">
        <v>7039</v>
      </c>
      <c r="G12">
        <v>535</v>
      </c>
      <c r="H12">
        <v>143</v>
      </c>
      <c r="I12">
        <f>Table2[[#This Row],[Total_Units]]-Table2[[#This Row],[Successful_Output]]-Table2[[#This Row],[Mortality_Count]]-Table2[[#This Row],[Contamination_Count]]</f>
        <v>1069</v>
      </c>
      <c r="J12" s="6">
        <f>F12/E12</f>
        <v>0.80116093785567954</v>
      </c>
      <c r="K12" s="6">
        <f>G12/E12</f>
        <v>6.0892328704757567E-2</v>
      </c>
      <c r="L12" s="6">
        <f>H12/E12</f>
        <v>1.6275893466879125E-2</v>
      </c>
      <c r="M12" t="str">
        <f>IF(G12/E12&gt;0.06,"High Risk","Normal")</f>
        <v>High Risk</v>
      </c>
    </row>
    <row r="13" spans="1:13" x14ac:dyDescent="0.3">
      <c r="A13" t="s">
        <v>27</v>
      </c>
      <c r="B13" t="s">
        <v>52</v>
      </c>
      <c r="C13" s="4">
        <v>45669</v>
      </c>
      <c r="D13" t="s">
        <v>14</v>
      </c>
      <c r="E13">
        <v>11965</v>
      </c>
      <c r="F13">
        <v>10849</v>
      </c>
      <c r="G13">
        <v>328</v>
      </c>
      <c r="H13">
        <v>166</v>
      </c>
      <c r="I13">
        <f>Table2[[#This Row],[Total_Units]]-Table2[[#This Row],[Successful_Output]]-Table2[[#This Row],[Mortality_Count]]-Table2[[#This Row],[Contamination_Count]]</f>
        <v>622</v>
      </c>
      <c r="J13" s="6">
        <f>F13/E13</f>
        <v>0.90672795653990812</v>
      </c>
      <c r="K13" s="6">
        <f>G13/E13</f>
        <v>2.7413288758880067E-2</v>
      </c>
      <c r="L13" s="6">
        <f>H13/E13</f>
        <v>1.3873798579189302E-2</v>
      </c>
      <c r="M13" t="str">
        <f>IF(G13/E13&gt;0.06,"High Risk","Normal")</f>
        <v>Normal</v>
      </c>
    </row>
    <row r="14" spans="1:13" x14ac:dyDescent="0.3">
      <c r="A14" t="s">
        <v>27</v>
      </c>
      <c r="B14" t="s">
        <v>47</v>
      </c>
      <c r="C14" s="4">
        <v>45670</v>
      </c>
      <c r="D14" t="s">
        <v>14</v>
      </c>
      <c r="E14">
        <v>8248</v>
      </c>
      <c r="F14">
        <v>7129</v>
      </c>
      <c r="G14">
        <v>467</v>
      </c>
      <c r="H14">
        <v>104</v>
      </c>
      <c r="I14">
        <f>Table2[[#This Row],[Total_Units]]-Table2[[#This Row],[Successful_Output]]-Table2[[#This Row],[Mortality_Count]]-Table2[[#This Row],[Contamination_Count]]</f>
        <v>548</v>
      </c>
      <c r="J14" s="6">
        <f>F14/E14</f>
        <v>0.86433074684772071</v>
      </c>
      <c r="K14" s="6">
        <f>G14/E14</f>
        <v>5.6619786614936954E-2</v>
      </c>
      <c r="L14" s="6">
        <f>H14/E14</f>
        <v>1.2609117361784675E-2</v>
      </c>
      <c r="M14" t="str">
        <f>IF(G14/E14&gt;0.06,"High Risk","Normal")</f>
        <v>Normal</v>
      </c>
    </row>
    <row r="15" spans="1:13" x14ac:dyDescent="0.3">
      <c r="A15" t="s">
        <v>27</v>
      </c>
      <c r="B15" t="s">
        <v>48</v>
      </c>
      <c r="C15" s="4">
        <v>45671</v>
      </c>
      <c r="D15" t="s">
        <v>14</v>
      </c>
      <c r="E15">
        <v>11143</v>
      </c>
      <c r="F15">
        <v>9854</v>
      </c>
      <c r="G15">
        <v>868</v>
      </c>
      <c r="H15">
        <v>300</v>
      </c>
      <c r="I15">
        <f>Table2[[#This Row],[Total_Units]]-Table2[[#This Row],[Successful_Output]]-Table2[[#This Row],[Mortality_Count]]-Table2[[#This Row],[Contamination_Count]]</f>
        <v>121</v>
      </c>
      <c r="J15" s="6">
        <f>F15/E15</f>
        <v>0.88432199587184779</v>
      </c>
      <c r="K15" s="6">
        <f>G15/E15</f>
        <v>7.7896437225163775E-2</v>
      </c>
      <c r="L15" s="6">
        <f>H15/E15</f>
        <v>2.6922731759849234E-2</v>
      </c>
      <c r="M15" t="str">
        <f>IF(G15/E15&gt;0.06,"High Risk","Normal")</f>
        <v>High Risk</v>
      </c>
    </row>
    <row r="16" spans="1:13" x14ac:dyDescent="0.3">
      <c r="A16" t="s">
        <v>27</v>
      </c>
      <c r="B16" t="s">
        <v>54</v>
      </c>
      <c r="C16" s="4">
        <v>45672</v>
      </c>
      <c r="D16" t="s">
        <v>14</v>
      </c>
      <c r="E16">
        <v>11190</v>
      </c>
      <c r="F16">
        <v>8759</v>
      </c>
      <c r="G16">
        <v>278</v>
      </c>
      <c r="H16">
        <v>115</v>
      </c>
      <c r="I16">
        <f>Table2[[#This Row],[Total_Units]]-Table2[[#This Row],[Successful_Output]]-Table2[[#This Row],[Mortality_Count]]-Table2[[#This Row],[Contamination_Count]]</f>
        <v>2038</v>
      </c>
      <c r="J16" s="6">
        <f>F16/E16</f>
        <v>0.78275245755138512</v>
      </c>
      <c r="K16" s="6">
        <f>G16/E16</f>
        <v>2.484361036639857E-2</v>
      </c>
      <c r="L16" s="6">
        <f>H16/E16</f>
        <v>1.0277033065236819E-2</v>
      </c>
      <c r="M16" t="str">
        <f>IF(G16/E16&gt;0.06,"High Risk","Normal")</f>
        <v>Normal</v>
      </c>
    </row>
    <row r="17" spans="1:13" x14ac:dyDescent="0.3">
      <c r="A17" t="s">
        <v>27</v>
      </c>
      <c r="B17" t="s">
        <v>58</v>
      </c>
      <c r="C17" s="4">
        <v>45673</v>
      </c>
      <c r="D17" t="s">
        <v>14</v>
      </c>
      <c r="E17">
        <v>10511</v>
      </c>
      <c r="F17">
        <v>9345</v>
      </c>
      <c r="G17">
        <v>410</v>
      </c>
      <c r="H17">
        <v>217</v>
      </c>
      <c r="I17">
        <f>Table2[[#This Row],[Total_Units]]-Table2[[#This Row],[Successful_Output]]-Table2[[#This Row],[Mortality_Count]]-Table2[[#This Row],[Contamination_Count]]</f>
        <v>539</v>
      </c>
      <c r="J17" s="6">
        <f>F17/E17</f>
        <v>0.88906859480544187</v>
      </c>
      <c r="K17" s="6">
        <f>G17/E17</f>
        <v>3.9006754828275141E-2</v>
      </c>
      <c r="L17" s="6">
        <f>H17/E17</f>
        <v>2.0645038531062695E-2</v>
      </c>
      <c r="M17" t="str">
        <f>IF(G17/E17&gt;0.06,"High Risk","Normal")</f>
        <v>Normal</v>
      </c>
    </row>
    <row r="18" spans="1:13" x14ac:dyDescent="0.3">
      <c r="A18" t="s">
        <v>27</v>
      </c>
      <c r="B18" t="s">
        <v>59</v>
      </c>
      <c r="C18" s="4">
        <v>45674</v>
      </c>
      <c r="D18" t="s">
        <v>14</v>
      </c>
      <c r="E18">
        <v>11475</v>
      </c>
      <c r="F18">
        <v>8702</v>
      </c>
      <c r="G18">
        <v>651</v>
      </c>
      <c r="H18">
        <v>281</v>
      </c>
      <c r="I18">
        <f>Table2[[#This Row],[Total_Units]]-Table2[[#This Row],[Successful_Output]]-Table2[[#This Row],[Mortality_Count]]-Table2[[#This Row],[Contamination_Count]]</f>
        <v>1841</v>
      </c>
      <c r="J18" s="6">
        <f>F18/E18</f>
        <v>0.75834422657952072</v>
      </c>
      <c r="K18" s="6">
        <f>G18/E18</f>
        <v>5.6732026143790852E-2</v>
      </c>
      <c r="L18" s="6">
        <f>H18/E18</f>
        <v>2.44880174291939E-2</v>
      </c>
      <c r="M18" t="str">
        <f>IF(G18/E18&gt;0.06,"High Risk","Normal")</f>
        <v>Normal</v>
      </c>
    </row>
    <row r="19" spans="1:13" x14ac:dyDescent="0.3">
      <c r="A19" t="s">
        <v>27</v>
      </c>
      <c r="B19" t="s">
        <v>56</v>
      </c>
      <c r="C19" s="4">
        <v>45675</v>
      </c>
      <c r="D19" t="s">
        <v>14</v>
      </c>
      <c r="E19">
        <v>11123</v>
      </c>
      <c r="F19">
        <v>8825</v>
      </c>
      <c r="G19">
        <v>323</v>
      </c>
      <c r="H19">
        <v>204</v>
      </c>
      <c r="I19">
        <f>Table2[[#This Row],[Total_Units]]-Table2[[#This Row],[Successful_Output]]-Table2[[#This Row],[Mortality_Count]]-Table2[[#This Row],[Contamination_Count]]</f>
        <v>1771</v>
      </c>
      <c r="J19" s="6">
        <f>F19/E19</f>
        <v>0.79340106086487461</v>
      </c>
      <c r="K19" s="6">
        <f>G19/E19</f>
        <v>2.9038928346669064E-2</v>
      </c>
      <c r="L19" s="6">
        <f>H19/E19</f>
        <v>1.8340375797896252E-2</v>
      </c>
      <c r="M19" t="str">
        <f>IF(G19/E19&gt;0.06,"High Risk","Normal")</f>
        <v>Normal</v>
      </c>
    </row>
    <row r="20" spans="1:13" x14ac:dyDescent="0.3">
      <c r="A20" t="s">
        <v>27</v>
      </c>
      <c r="B20" t="s">
        <v>60</v>
      </c>
      <c r="C20" s="4">
        <v>45676</v>
      </c>
      <c r="D20" t="s">
        <v>14</v>
      </c>
      <c r="E20">
        <v>9813</v>
      </c>
      <c r="F20">
        <v>7852</v>
      </c>
      <c r="G20">
        <v>401</v>
      </c>
      <c r="H20">
        <v>217</v>
      </c>
      <c r="I20">
        <f>Table2[[#This Row],[Total_Units]]-Table2[[#This Row],[Successful_Output]]-Table2[[#This Row],[Mortality_Count]]-Table2[[#This Row],[Contamination_Count]]</f>
        <v>1343</v>
      </c>
      <c r="J20" s="6">
        <f>F20/E20</f>
        <v>0.80016304901661062</v>
      </c>
      <c r="K20" s="6">
        <f>G20/E20</f>
        <v>4.0864159788036279E-2</v>
      </c>
      <c r="L20" s="6">
        <f>H20/E20</f>
        <v>2.2113522877815144E-2</v>
      </c>
      <c r="M20" t="str">
        <f>IF(G20/E20&gt;0.06,"High Risk","Normal")</f>
        <v>Normal</v>
      </c>
    </row>
    <row r="21" spans="1:13" x14ac:dyDescent="0.3">
      <c r="A21" t="s">
        <v>27</v>
      </c>
      <c r="B21" t="s">
        <v>61</v>
      </c>
      <c r="C21" s="4">
        <v>45677</v>
      </c>
      <c r="D21" t="s">
        <v>14</v>
      </c>
      <c r="E21">
        <v>11868</v>
      </c>
      <c r="F21">
        <v>10328</v>
      </c>
      <c r="G21">
        <v>775</v>
      </c>
      <c r="H21">
        <v>190</v>
      </c>
      <c r="I21">
        <f>Table2[[#This Row],[Total_Units]]-Table2[[#This Row],[Successful_Output]]-Table2[[#This Row],[Mortality_Count]]-Table2[[#This Row],[Contamination_Count]]</f>
        <v>575</v>
      </c>
      <c r="J21" s="6">
        <f>F21/E21</f>
        <v>0.8702392989551736</v>
      </c>
      <c r="K21" s="6">
        <f>G21/E21</f>
        <v>6.5301651499831484E-2</v>
      </c>
      <c r="L21" s="6">
        <f>H21/E21</f>
        <v>1.6009437141894168E-2</v>
      </c>
      <c r="M21" t="str">
        <f>IF(G21/E21&gt;0.06,"High Risk","Normal")</f>
        <v>High Risk</v>
      </c>
    </row>
    <row r="22" spans="1:13" x14ac:dyDescent="0.3">
      <c r="A22" t="s">
        <v>27</v>
      </c>
      <c r="B22" t="s">
        <v>57</v>
      </c>
      <c r="C22" s="4">
        <v>45678</v>
      </c>
      <c r="D22" t="s">
        <v>14</v>
      </c>
      <c r="E22">
        <v>11202</v>
      </c>
      <c r="F22">
        <v>8789</v>
      </c>
      <c r="G22">
        <v>863</v>
      </c>
      <c r="H22">
        <v>278</v>
      </c>
      <c r="I22">
        <f>Table2[[#This Row],[Total_Units]]-Table2[[#This Row],[Successful_Output]]-Table2[[#This Row],[Mortality_Count]]-Table2[[#This Row],[Contamination_Count]]</f>
        <v>1272</v>
      </c>
      <c r="J22" s="6">
        <f>F22/E22</f>
        <v>0.78459203713622572</v>
      </c>
      <c r="K22" s="6">
        <f>G22/E22</f>
        <v>7.7039814318871636E-2</v>
      </c>
      <c r="L22" s="6">
        <f>H22/E22</f>
        <v>2.4816996964827708E-2</v>
      </c>
      <c r="M22" t="str">
        <f>IF(G22/E22&gt;0.06,"High Risk","Normal")</f>
        <v>High Risk</v>
      </c>
    </row>
    <row r="23" spans="1:13" x14ac:dyDescent="0.3">
      <c r="A23" t="s">
        <v>27</v>
      </c>
      <c r="B23" t="s">
        <v>62</v>
      </c>
      <c r="C23" s="4">
        <v>45679</v>
      </c>
      <c r="D23" t="s">
        <v>14</v>
      </c>
      <c r="E23">
        <v>10131</v>
      </c>
      <c r="F23">
        <v>7799</v>
      </c>
      <c r="G23">
        <v>412</v>
      </c>
      <c r="H23">
        <v>289</v>
      </c>
      <c r="I23">
        <f>Table2[[#This Row],[Total_Units]]-Table2[[#This Row],[Successful_Output]]-Table2[[#This Row],[Mortality_Count]]-Table2[[#This Row],[Contamination_Count]]</f>
        <v>1631</v>
      </c>
      <c r="J23" s="6">
        <f>F23/E23</f>
        <v>0.76981541802388709</v>
      </c>
      <c r="K23" s="6">
        <f>G23/E23</f>
        <v>4.0667258908301251E-2</v>
      </c>
      <c r="L23" s="6">
        <f>H23/E23</f>
        <v>2.8526305399269567E-2</v>
      </c>
      <c r="M23" t="str">
        <f>IF(G23/E23&gt;0.06,"High Risk","Normal")</f>
        <v>Normal</v>
      </c>
    </row>
    <row r="24" spans="1:13" x14ac:dyDescent="0.3">
      <c r="A24" t="s">
        <v>27</v>
      </c>
      <c r="B24" t="s">
        <v>63</v>
      </c>
      <c r="C24" s="4">
        <v>45680</v>
      </c>
      <c r="D24" t="s">
        <v>14</v>
      </c>
      <c r="E24">
        <v>9113</v>
      </c>
      <c r="F24">
        <v>7589</v>
      </c>
      <c r="G24">
        <v>689</v>
      </c>
      <c r="H24">
        <v>163</v>
      </c>
      <c r="I24">
        <f>Table2[[#This Row],[Total_Units]]-Table2[[#This Row],[Successful_Output]]-Table2[[#This Row],[Mortality_Count]]-Table2[[#This Row],[Contamination_Count]]</f>
        <v>672</v>
      </c>
      <c r="J24" s="6">
        <f>F24/E24</f>
        <v>0.83276637770218365</v>
      </c>
      <c r="K24" s="6">
        <f>G24/E24</f>
        <v>7.5606276747503573E-2</v>
      </c>
      <c r="L24" s="6">
        <f>H24/E24</f>
        <v>1.7886535718204762E-2</v>
      </c>
      <c r="M24" t="str">
        <f>IF(G24/E24&gt;0.06,"High Risk","Normal")</f>
        <v>High Risk</v>
      </c>
    </row>
    <row r="25" spans="1:13" x14ac:dyDescent="0.3">
      <c r="A25" t="s">
        <v>27</v>
      </c>
      <c r="B25" t="s">
        <v>55</v>
      </c>
      <c r="C25" s="4">
        <v>45681</v>
      </c>
      <c r="D25" t="s">
        <v>14</v>
      </c>
      <c r="E25">
        <v>10642</v>
      </c>
      <c r="F25">
        <v>8311</v>
      </c>
      <c r="G25">
        <v>536</v>
      </c>
      <c r="H25">
        <v>126</v>
      </c>
      <c r="I25">
        <f>Table2[[#This Row],[Total_Units]]-Table2[[#This Row],[Successful_Output]]-Table2[[#This Row],[Mortality_Count]]-Table2[[#This Row],[Contamination_Count]]</f>
        <v>1669</v>
      </c>
      <c r="J25" s="6">
        <f>F25/E25</f>
        <v>0.78096222514564928</v>
      </c>
      <c r="K25" s="6">
        <f>G25/E25</f>
        <v>5.0366472467581282E-2</v>
      </c>
      <c r="L25" s="6">
        <f>H25/E25</f>
        <v>1.1839879721856794E-2</v>
      </c>
      <c r="M25" t="str">
        <f>IF(G25/E25&gt;0.06,"High Risk","Normal")</f>
        <v>Normal</v>
      </c>
    </row>
    <row r="26" spans="1:13" x14ac:dyDescent="0.3">
      <c r="A26" t="s">
        <v>27</v>
      </c>
      <c r="B26" t="s">
        <v>64</v>
      </c>
      <c r="C26" s="4">
        <v>45682</v>
      </c>
      <c r="D26" t="s">
        <v>14</v>
      </c>
      <c r="E26">
        <v>8664</v>
      </c>
      <c r="F26">
        <v>7126</v>
      </c>
      <c r="G26">
        <v>524</v>
      </c>
      <c r="H26">
        <v>85</v>
      </c>
      <c r="I26">
        <f>Table2[[#This Row],[Total_Units]]-Table2[[#This Row],[Successful_Output]]-Table2[[#This Row],[Mortality_Count]]-Table2[[#This Row],[Contamination_Count]]</f>
        <v>929</v>
      </c>
      <c r="J26" s="6">
        <f>F26/E26</f>
        <v>0.8224838411819021</v>
      </c>
      <c r="K26" s="6">
        <f>G26/E26</f>
        <v>6.0480147737765465E-2</v>
      </c>
      <c r="L26" s="6">
        <f>H26/E26</f>
        <v>9.8107109879963066E-3</v>
      </c>
      <c r="M26" t="str">
        <f>IF(G26/E26&gt;0.06,"High Risk","Normal")</f>
        <v>High Risk</v>
      </c>
    </row>
    <row r="27" spans="1:13" x14ac:dyDescent="0.3">
      <c r="A27" t="s">
        <v>27</v>
      </c>
      <c r="B27" t="s">
        <v>65</v>
      </c>
      <c r="C27" s="4">
        <v>45683</v>
      </c>
      <c r="D27" t="s">
        <v>14</v>
      </c>
      <c r="E27">
        <v>8722</v>
      </c>
      <c r="F27">
        <v>7948</v>
      </c>
      <c r="G27">
        <v>361</v>
      </c>
      <c r="H27">
        <v>252</v>
      </c>
      <c r="I27">
        <f>Table2[[#This Row],[Total_Units]]-Table2[[#This Row],[Successful_Output]]-Table2[[#This Row],[Mortality_Count]]-Table2[[#This Row],[Contamination_Count]]</f>
        <v>161</v>
      </c>
      <c r="J27" s="6">
        <f>F27/E27</f>
        <v>0.91125888557670254</v>
      </c>
      <c r="K27" s="6">
        <f>G27/E27</f>
        <v>4.1389589543682645E-2</v>
      </c>
      <c r="L27" s="6">
        <f>H27/E27</f>
        <v>2.8892455858747994E-2</v>
      </c>
      <c r="M27" t="str">
        <f>IF(G27/E27&gt;0.06,"High Risk","Normal")</f>
        <v>Normal</v>
      </c>
    </row>
    <row r="28" spans="1:13" x14ac:dyDescent="0.3">
      <c r="A28" t="s">
        <v>27</v>
      </c>
      <c r="B28" t="s">
        <v>53</v>
      </c>
      <c r="C28" s="4">
        <v>45684</v>
      </c>
      <c r="D28" t="s">
        <v>14</v>
      </c>
      <c r="E28">
        <v>8654</v>
      </c>
      <c r="F28">
        <v>7500</v>
      </c>
      <c r="G28">
        <v>557</v>
      </c>
      <c r="H28">
        <v>83</v>
      </c>
      <c r="I28">
        <f>Table2[[#This Row],[Total_Units]]-Table2[[#This Row],[Successful_Output]]-Table2[[#This Row],[Mortality_Count]]-Table2[[#This Row],[Contamination_Count]]</f>
        <v>514</v>
      </c>
      <c r="J28" s="6">
        <f>F28/E28</f>
        <v>0.86665125953316391</v>
      </c>
      <c r="K28" s="6">
        <f>G28/E28</f>
        <v>6.4363300207996299E-2</v>
      </c>
      <c r="L28" s="6">
        <f>H28/E28</f>
        <v>9.590940605500347E-3</v>
      </c>
      <c r="M28" t="str">
        <f>IF(G28/E28&gt;0.06,"High Risk","Normal")</f>
        <v>High Risk</v>
      </c>
    </row>
    <row r="29" spans="1:13" x14ac:dyDescent="0.3">
      <c r="A29" t="s">
        <v>27</v>
      </c>
      <c r="B29" t="s">
        <v>66</v>
      </c>
      <c r="C29" s="4">
        <v>45685</v>
      </c>
      <c r="D29" t="s">
        <v>14</v>
      </c>
      <c r="E29">
        <v>8494</v>
      </c>
      <c r="F29">
        <v>7155</v>
      </c>
      <c r="G29">
        <v>483</v>
      </c>
      <c r="H29">
        <v>216</v>
      </c>
      <c r="I29">
        <f>Table2[[#This Row],[Total_Units]]-Table2[[#This Row],[Successful_Output]]-Table2[[#This Row],[Mortality_Count]]-Table2[[#This Row],[Contamination_Count]]</f>
        <v>640</v>
      </c>
      <c r="J29" s="6">
        <f>F29/E29</f>
        <v>0.84235931245585116</v>
      </c>
      <c r="K29" s="6">
        <f>G29/E29</f>
        <v>5.6863668471862493E-2</v>
      </c>
      <c r="L29" s="6">
        <f>H29/E29</f>
        <v>2.542971509300683E-2</v>
      </c>
      <c r="M29" t="str">
        <f>IF(G29/E29&gt;0.06,"High Risk","Normal")</f>
        <v>Normal</v>
      </c>
    </row>
    <row r="30" spans="1:13" x14ac:dyDescent="0.3">
      <c r="A30" t="s">
        <v>27</v>
      </c>
      <c r="B30" t="s">
        <v>67</v>
      </c>
      <c r="C30" s="4">
        <v>45686</v>
      </c>
      <c r="D30" t="s">
        <v>14</v>
      </c>
      <c r="E30">
        <v>10860</v>
      </c>
      <c r="F30">
        <v>8206</v>
      </c>
      <c r="G30">
        <v>469</v>
      </c>
      <c r="H30">
        <v>57</v>
      </c>
      <c r="I30">
        <f>Table2[[#This Row],[Total_Units]]-Table2[[#This Row],[Successful_Output]]-Table2[[#This Row],[Mortality_Count]]-Table2[[#This Row],[Contamination_Count]]</f>
        <v>2128</v>
      </c>
      <c r="J30" s="6">
        <f>F30/E30</f>
        <v>0.75561694290976056</v>
      </c>
      <c r="K30" s="6">
        <f>G30/E30</f>
        <v>4.3186003683241249E-2</v>
      </c>
      <c r="L30" s="6">
        <f>H30/E30</f>
        <v>5.2486187845303869E-3</v>
      </c>
      <c r="M30" t="str">
        <f>IF(G30/E30&gt;0.06,"High Risk","Normal")</f>
        <v>Normal</v>
      </c>
    </row>
    <row r="31" spans="1:13" x14ac:dyDescent="0.3">
      <c r="A31" t="s">
        <v>27</v>
      </c>
      <c r="B31" t="s">
        <v>68</v>
      </c>
      <c r="C31" s="4">
        <v>45687</v>
      </c>
      <c r="D31" t="s">
        <v>14</v>
      </c>
      <c r="E31">
        <v>11641</v>
      </c>
      <c r="F31">
        <v>9602</v>
      </c>
      <c r="G31">
        <v>809</v>
      </c>
      <c r="H31">
        <v>177</v>
      </c>
      <c r="I31">
        <f>Table2[[#This Row],[Total_Units]]-Table2[[#This Row],[Successful_Output]]-Table2[[#This Row],[Mortality_Count]]-Table2[[#This Row],[Contamination_Count]]</f>
        <v>1053</v>
      </c>
      <c r="J31" s="6">
        <f>F31/E31</f>
        <v>0.82484322652693065</v>
      </c>
      <c r="K31" s="6">
        <f>G31/E31</f>
        <v>6.9495747787990725E-2</v>
      </c>
      <c r="L31" s="6">
        <f>H31/E31</f>
        <v>1.5204879305901555E-2</v>
      </c>
      <c r="M31" t="str">
        <f>IF(G31/E31&gt;0.06,"High Risk","Normal")</f>
        <v>High Risk</v>
      </c>
    </row>
    <row r="32" spans="1:13" x14ac:dyDescent="0.3">
      <c r="A32" t="s">
        <v>27</v>
      </c>
      <c r="B32" t="s">
        <v>69</v>
      </c>
      <c r="C32" s="4">
        <v>45688</v>
      </c>
      <c r="D32" t="s">
        <v>14</v>
      </c>
      <c r="E32">
        <v>8569</v>
      </c>
      <c r="F32">
        <v>6626</v>
      </c>
      <c r="G32">
        <v>543</v>
      </c>
      <c r="H32">
        <v>236</v>
      </c>
      <c r="I32">
        <f>Table2[[#This Row],[Total_Units]]-Table2[[#This Row],[Successful_Output]]-Table2[[#This Row],[Mortality_Count]]-Table2[[#This Row],[Contamination_Count]]</f>
        <v>1164</v>
      </c>
      <c r="J32" s="6">
        <f>F32/E32</f>
        <v>0.77325242151943052</v>
      </c>
      <c r="K32" s="6">
        <f>G32/E32</f>
        <v>6.3367954253705214E-2</v>
      </c>
      <c r="L32" s="6">
        <f>H32/E32</f>
        <v>2.7541136655385691E-2</v>
      </c>
      <c r="M32" t="str">
        <f>IF(G32/E32&gt;0.06,"High Risk","Normal")</f>
        <v>High Risk</v>
      </c>
    </row>
    <row r="33" spans="1:13" x14ac:dyDescent="0.3">
      <c r="A33" t="s">
        <v>28</v>
      </c>
      <c r="B33" t="s">
        <v>39</v>
      </c>
      <c r="C33" s="4">
        <v>45689</v>
      </c>
      <c r="D33" t="s">
        <v>15</v>
      </c>
      <c r="E33">
        <v>10446</v>
      </c>
      <c r="F33">
        <v>8351</v>
      </c>
      <c r="G33">
        <v>701</v>
      </c>
      <c r="H33">
        <v>120</v>
      </c>
      <c r="I33">
        <f>Table2[[#This Row],[Total_Units]]-Table2[[#This Row],[Successful_Output]]-Table2[[#This Row],[Mortality_Count]]-Table2[[#This Row],[Contamination_Count]]</f>
        <v>1274</v>
      </c>
      <c r="J33" s="6">
        <f>F33/E33</f>
        <v>0.79944476354585492</v>
      </c>
      <c r="K33" s="6">
        <f>G33/E33</f>
        <v>6.7107026613057633E-2</v>
      </c>
      <c r="L33" s="6">
        <f>H33/E33</f>
        <v>1.1487650775416428E-2</v>
      </c>
      <c r="M33" t="str">
        <f>IF(G33/E33&gt;0.06,"High Risk","Normal")</f>
        <v>High Risk</v>
      </c>
    </row>
    <row r="34" spans="1:13" x14ac:dyDescent="0.3">
      <c r="A34" t="s">
        <v>28</v>
      </c>
      <c r="B34" t="s">
        <v>40</v>
      </c>
      <c r="C34" s="4">
        <v>45690</v>
      </c>
      <c r="D34" t="s">
        <v>15</v>
      </c>
      <c r="E34">
        <v>11516</v>
      </c>
      <c r="F34">
        <v>9484</v>
      </c>
      <c r="G34">
        <v>875</v>
      </c>
      <c r="H34">
        <v>113</v>
      </c>
      <c r="I34">
        <f>Table2[[#This Row],[Total_Units]]-Table2[[#This Row],[Successful_Output]]-Table2[[#This Row],[Mortality_Count]]-Table2[[#This Row],[Contamination_Count]]</f>
        <v>1044</v>
      </c>
      <c r="J34" s="6">
        <f>F34/E34</f>
        <v>0.8235498436957277</v>
      </c>
      <c r="K34" s="6">
        <f>G34/E34</f>
        <v>7.5981243487321992E-2</v>
      </c>
      <c r="L34" s="6">
        <f>H34/E34</f>
        <v>9.812434873219868E-3</v>
      </c>
      <c r="M34" t="str">
        <f>IF(G34/E34&gt;0.06,"High Risk","Normal")</f>
        <v>High Risk</v>
      </c>
    </row>
    <row r="35" spans="1:13" x14ac:dyDescent="0.3">
      <c r="A35" t="s">
        <v>28</v>
      </c>
      <c r="B35" t="s">
        <v>49</v>
      </c>
      <c r="C35" s="4">
        <v>45691</v>
      </c>
      <c r="D35" t="s">
        <v>15</v>
      </c>
      <c r="E35">
        <v>11775</v>
      </c>
      <c r="F35">
        <v>9544</v>
      </c>
      <c r="G35">
        <v>429</v>
      </c>
      <c r="H35">
        <v>243</v>
      </c>
      <c r="I35">
        <f>Table2[[#This Row],[Total_Units]]-Table2[[#This Row],[Successful_Output]]-Table2[[#This Row],[Mortality_Count]]-Table2[[#This Row],[Contamination_Count]]</f>
        <v>1559</v>
      </c>
      <c r="J35" s="6">
        <f>F35/E35</f>
        <v>0.81053078556263269</v>
      </c>
      <c r="K35" s="6">
        <f>G35/E35</f>
        <v>3.6433121019108283E-2</v>
      </c>
      <c r="L35" s="6">
        <f>H35/E35</f>
        <v>2.0636942675159236E-2</v>
      </c>
      <c r="M35" t="str">
        <f>IF(G35/E35&gt;0.06,"High Risk","Normal")</f>
        <v>Normal</v>
      </c>
    </row>
    <row r="36" spans="1:13" x14ac:dyDescent="0.3">
      <c r="A36" t="s">
        <v>28</v>
      </c>
      <c r="B36" t="s">
        <v>41</v>
      </c>
      <c r="C36" s="4">
        <v>45692</v>
      </c>
      <c r="D36" t="s">
        <v>15</v>
      </c>
      <c r="E36">
        <v>9929</v>
      </c>
      <c r="F36">
        <v>7584</v>
      </c>
      <c r="G36">
        <v>275</v>
      </c>
      <c r="H36">
        <v>248</v>
      </c>
      <c r="I36">
        <f>Table2[[#This Row],[Total_Units]]-Table2[[#This Row],[Successful_Output]]-Table2[[#This Row],[Mortality_Count]]-Table2[[#This Row],[Contamination_Count]]</f>
        <v>1822</v>
      </c>
      <c r="J36" s="6">
        <f>F36/E36</f>
        <v>0.76382314432470544</v>
      </c>
      <c r="K36" s="6">
        <f>G36/E36</f>
        <v>2.7696646187934333E-2</v>
      </c>
      <c r="L36" s="6">
        <f>H36/E36</f>
        <v>2.4977339107664417E-2</v>
      </c>
      <c r="M36" t="str">
        <f>IF(G36/E36&gt;0.06,"High Risk","Normal")</f>
        <v>Normal</v>
      </c>
    </row>
    <row r="37" spans="1:13" x14ac:dyDescent="0.3">
      <c r="A37" t="s">
        <v>28</v>
      </c>
      <c r="B37" t="s">
        <v>42</v>
      </c>
      <c r="C37" s="4">
        <v>45693</v>
      </c>
      <c r="D37" t="s">
        <v>15</v>
      </c>
      <c r="E37">
        <v>9677</v>
      </c>
      <c r="F37">
        <v>8655</v>
      </c>
      <c r="G37">
        <v>610</v>
      </c>
      <c r="H37">
        <v>276</v>
      </c>
      <c r="I37">
        <f>Table2[[#This Row],[Total_Units]]-Table2[[#This Row],[Successful_Output]]-Table2[[#This Row],[Mortality_Count]]-Table2[[#This Row],[Contamination_Count]]</f>
        <v>136</v>
      </c>
      <c r="J37" s="6">
        <f>F37/E37</f>
        <v>0.89438875684612995</v>
      </c>
      <c r="K37" s="6">
        <f>G37/E37</f>
        <v>6.3036064896145494E-2</v>
      </c>
      <c r="L37" s="6">
        <f>H37/E37</f>
        <v>2.8521235920223209E-2</v>
      </c>
      <c r="M37" t="str">
        <f>IF(G37/E37&gt;0.06,"High Risk","Normal")</f>
        <v>High Risk</v>
      </c>
    </row>
    <row r="38" spans="1:13" x14ac:dyDescent="0.3">
      <c r="A38" t="s">
        <v>28</v>
      </c>
      <c r="B38" t="s">
        <v>50</v>
      </c>
      <c r="C38" s="4">
        <v>45694</v>
      </c>
      <c r="D38" t="s">
        <v>15</v>
      </c>
      <c r="E38">
        <v>9539</v>
      </c>
      <c r="F38">
        <v>7300</v>
      </c>
      <c r="G38">
        <v>331</v>
      </c>
      <c r="H38">
        <v>187</v>
      </c>
      <c r="I38">
        <f>Table2[[#This Row],[Total_Units]]-Table2[[#This Row],[Successful_Output]]-Table2[[#This Row],[Mortality_Count]]-Table2[[#This Row],[Contamination_Count]]</f>
        <v>1721</v>
      </c>
      <c r="J38" s="6">
        <f>F38/E38</f>
        <v>0.76527937938987312</v>
      </c>
      <c r="K38" s="6">
        <f>G38/E38</f>
        <v>3.4699654051787397E-2</v>
      </c>
      <c r="L38" s="6">
        <f>H38/E38</f>
        <v>1.9603732047384421E-2</v>
      </c>
      <c r="M38" t="str">
        <f>IF(G38/E38&gt;0.06,"High Risk","Normal")</f>
        <v>Normal</v>
      </c>
    </row>
    <row r="39" spans="1:13" x14ac:dyDescent="0.3">
      <c r="A39" t="s">
        <v>28</v>
      </c>
      <c r="B39" t="s">
        <v>43</v>
      </c>
      <c r="C39" s="4">
        <v>45695</v>
      </c>
      <c r="D39" t="s">
        <v>15</v>
      </c>
      <c r="E39">
        <v>8756</v>
      </c>
      <c r="F39">
        <v>7708</v>
      </c>
      <c r="G39">
        <v>508</v>
      </c>
      <c r="H39">
        <v>44</v>
      </c>
      <c r="I39">
        <f>Table2[[#This Row],[Total_Units]]-Table2[[#This Row],[Successful_Output]]-Table2[[#This Row],[Mortality_Count]]-Table2[[#This Row],[Contamination_Count]]</f>
        <v>496</v>
      </c>
      <c r="J39" s="6">
        <f>F39/E39</f>
        <v>0.88031064412973958</v>
      </c>
      <c r="K39" s="6">
        <f>G39/E39</f>
        <v>5.8017359524897213E-2</v>
      </c>
      <c r="L39" s="6">
        <f>H39/E39</f>
        <v>5.0251256281407036E-3</v>
      </c>
      <c r="M39" t="str">
        <f>IF(G39/E39&gt;0.06,"High Risk","Normal")</f>
        <v>Normal</v>
      </c>
    </row>
    <row r="40" spans="1:13" x14ac:dyDescent="0.3">
      <c r="A40" t="s">
        <v>28</v>
      </c>
      <c r="B40" t="s">
        <v>44</v>
      </c>
      <c r="C40" s="4">
        <v>45696</v>
      </c>
      <c r="D40" t="s">
        <v>15</v>
      </c>
      <c r="E40">
        <v>8537</v>
      </c>
      <c r="F40">
        <v>7617</v>
      </c>
      <c r="G40">
        <v>295</v>
      </c>
      <c r="H40">
        <v>53</v>
      </c>
      <c r="I40">
        <f>Table2[[#This Row],[Total_Units]]-Table2[[#This Row],[Successful_Output]]-Table2[[#This Row],[Mortality_Count]]-Table2[[#This Row],[Contamination_Count]]</f>
        <v>572</v>
      </c>
      <c r="J40" s="6">
        <f>F40/E40</f>
        <v>0.89223380578657607</v>
      </c>
      <c r="K40" s="6">
        <f>G40/E40</f>
        <v>3.4555464448869623E-2</v>
      </c>
      <c r="L40" s="6">
        <f>H40/E40</f>
        <v>6.2082698840342041E-3</v>
      </c>
      <c r="M40" t="str">
        <f>IF(G40/E40&gt;0.06,"High Risk","Normal")</f>
        <v>Normal</v>
      </c>
    </row>
    <row r="41" spans="1:13" x14ac:dyDescent="0.3">
      <c r="A41" t="s">
        <v>28</v>
      </c>
      <c r="B41" t="s">
        <v>51</v>
      </c>
      <c r="C41" s="4">
        <v>45697</v>
      </c>
      <c r="D41" t="s">
        <v>15</v>
      </c>
      <c r="E41">
        <v>9538</v>
      </c>
      <c r="F41">
        <v>7699</v>
      </c>
      <c r="G41">
        <v>533</v>
      </c>
      <c r="H41">
        <v>89</v>
      </c>
      <c r="I41">
        <f>Table2[[#This Row],[Total_Units]]-Table2[[#This Row],[Successful_Output]]-Table2[[#This Row],[Mortality_Count]]-Table2[[#This Row],[Contamination_Count]]</f>
        <v>1217</v>
      </c>
      <c r="J41" s="6">
        <f>F41/E41</f>
        <v>0.80719228349758865</v>
      </c>
      <c r="K41" s="6">
        <f>G41/E41</f>
        <v>5.5881736213042564E-2</v>
      </c>
      <c r="L41" s="6">
        <f>H41/E41</f>
        <v>9.3310966659677086E-3</v>
      </c>
      <c r="M41" t="str">
        <f>IF(G41/E41&gt;0.06,"High Risk","Normal")</f>
        <v>Normal</v>
      </c>
    </row>
    <row r="42" spans="1:13" x14ac:dyDescent="0.3">
      <c r="A42" t="s">
        <v>28</v>
      </c>
      <c r="B42" t="s">
        <v>45</v>
      </c>
      <c r="C42" s="4">
        <v>45698</v>
      </c>
      <c r="D42" t="s">
        <v>15</v>
      </c>
      <c r="E42">
        <v>8901</v>
      </c>
      <c r="F42">
        <v>7794</v>
      </c>
      <c r="G42">
        <v>580</v>
      </c>
      <c r="H42">
        <v>208</v>
      </c>
      <c r="I42">
        <f>Table2[[#This Row],[Total_Units]]-Table2[[#This Row],[Successful_Output]]-Table2[[#This Row],[Mortality_Count]]-Table2[[#This Row],[Contamination_Count]]</f>
        <v>319</v>
      </c>
      <c r="J42" s="6">
        <f>F42/E42</f>
        <v>0.87563195146612738</v>
      </c>
      <c r="K42" s="6">
        <f>G42/E42</f>
        <v>6.5161217840692051E-2</v>
      </c>
      <c r="L42" s="6">
        <f>H42/E42</f>
        <v>2.3368160880799911E-2</v>
      </c>
      <c r="M42" t="str">
        <f>IF(G42/E42&gt;0.06,"High Risk","Normal")</f>
        <v>High Risk</v>
      </c>
    </row>
    <row r="43" spans="1:13" x14ac:dyDescent="0.3">
      <c r="A43" t="s">
        <v>28</v>
      </c>
      <c r="B43" t="s">
        <v>46</v>
      </c>
      <c r="C43" s="4">
        <v>45699</v>
      </c>
      <c r="D43" t="s">
        <v>15</v>
      </c>
      <c r="E43">
        <v>9047</v>
      </c>
      <c r="F43">
        <v>8189</v>
      </c>
      <c r="G43">
        <v>339</v>
      </c>
      <c r="H43">
        <v>119</v>
      </c>
      <c r="I43">
        <f>Table2[[#This Row],[Total_Units]]-Table2[[#This Row],[Successful_Output]]-Table2[[#This Row],[Mortality_Count]]-Table2[[#This Row],[Contamination_Count]]</f>
        <v>400</v>
      </c>
      <c r="J43" s="6">
        <f>F43/E43</f>
        <v>0.90516193213219853</v>
      </c>
      <c r="K43" s="6">
        <f>G43/E43</f>
        <v>3.7470984856858625E-2</v>
      </c>
      <c r="L43" s="6">
        <f>H43/E43</f>
        <v>1.3153531557422349E-2</v>
      </c>
      <c r="M43" t="str">
        <f>IF(G43/E43&gt;0.06,"High Risk","Normal")</f>
        <v>Normal</v>
      </c>
    </row>
    <row r="44" spans="1:13" x14ac:dyDescent="0.3">
      <c r="A44" t="s">
        <v>28</v>
      </c>
      <c r="B44" t="s">
        <v>52</v>
      </c>
      <c r="C44" s="4">
        <v>45700</v>
      </c>
      <c r="D44" t="s">
        <v>15</v>
      </c>
      <c r="E44">
        <v>8946</v>
      </c>
      <c r="F44">
        <v>8154</v>
      </c>
      <c r="G44">
        <v>244</v>
      </c>
      <c r="H44">
        <v>232</v>
      </c>
      <c r="I44">
        <f>Table2[[#This Row],[Total_Units]]-Table2[[#This Row],[Successful_Output]]-Table2[[#This Row],[Mortality_Count]]-Table2[[#This Row],[Contamination_Count]]</f>
        <v>316</v>
      </c>
      <c r="J44" s="6">
        <f>F44/E44</f>
        <v>0.91146881287726356</v>
      </c>
      <c r="K44" s="6">
        <f>G44/E44</f>
        <v>2.7274759669125865E-2</v>
      </c>
      <c r="L44" s="6">
        <f>H44/E44</f>
        <v>2.5933378046054101E-2</v>
      </c>
      <c r="M44" t="str">
        <f>IF(G44/E44&gt;0.06,"High Risk","Normal")</f>
        <v>Normal</v>
      </c>
    </row>
    <row r="45" spans="1:13" x14ac:dyDescent="0.3">
      <c r="A45" t="s">
        <v>28</v>
      </c>
      <c r="B45" t="s">
        <v>47</v>
      </c>
      <c r="C45" s="4">
        <v>45701</v>
      </c>
      <c r="D45" t="s">
        <v>15</v>
      </c>
      <c r="E45">
        <v>11292</v>
      </c>
      <c r="F45">
        <v>8824</v>
      </c>
      <c r="G45">
        <v>694</v>
      </c>
      <c r="H45">
        <v>88</v>
      </c>
      <c r="I45">
        <f>Table2[[#This Row],[Total_Units]]-Table2[[#This Row],[Successful_Output]]-Table2[[#This Row],[Mortality_Count]]-Table2[[#This Row],[Contamination_Count]]</f>
        <v>1686</v>
      </c>
      <c r="J45" s="6">
        <f>F45/E45</f>
        <v>0.78143818632660289</v>
      </c>
      <c r="K45" s="6">
        <f>G45/E45</f>
        <v>6.1459440311725115E-2</v>
      </c>
      <c r="L45" s="6">
        <f>H45/E45</f>
        <v>7.7931278781438185E-3</v>
      </c>
      <c r="M45" t="str">
        <f>IF(G45/E45&gt;0.06,"High Risk","Normal")</f>
        <v>High Risk</v>
      </c>
    </row>
    <row r="46" spans="1:13" x14ac:dyDescent="0.3">
      <c r="A46" t="s">
        <v>28</v>
      </c>
      <c r="B46" t="s">
        <v>48</v>
      </c>
      <c r="C46" s="4">
        <v>45702</v>
      </c>
      <c r="D46" t="s">
        <v>15</v>
      </c>
      <c r="E46">
        <v>11532</v>
      </c>
      <c r="F46">
        <v>10329</v>
      </c>
      <c r="G46">
        <v>559</v>
      </c>
      <c r="H46">
        <v>100</v>
      </c>
      <c r="I46">
        <f>Table2[[#This Row],[Total_Units]]-Table2[[#This Row],[Successful_Output]]-Table2[[#This Row],[Mortality_Count]]-Table2[[#This Row],[Contamination_Count]]</f>
        <v>544</v>
      </c>
      <c r="J46" s="6">
        <f>F46/E46</f>
        <v>0.89568158168574397</v>
      </c>
      <c r="K46" s="6">
        <f>G46/E46</f>
        <v>4.8473812001387444E-2</v>
      </c>
      <c r="L46" s="6">
        <f>H46/E46</f>
        <v>8.6715227193895246E-3</v>
      </c>
      <c r="M46" t="str">
        <f>IF(G46/E46&gt;0.06,"High Risk","Normal")</f>
        <v>Normal</v>
      </c>
    </row>
    <row r="47" spans="1:13" x14ac:dyDescent="0.3">
      <c r="A47" t="s">
        <v>28</v>
      </c>
      <c r="B47" t="s">
        <v>54</v>
      </c>
      <c r="C47" s="4">
        <v>45703</v>
      </c>
      <c r="D47" t="s">
        <v>15</v>
      </c>
      <c r="E47">
        <v>8450</v>
      </c>
      <c r="F47">
        <v>7518</v>
      </c>
      <c r="G47">
        <v>645</v>
      </c>
      <c r="H47">
        <v>62</v>
      </c>
      <c r="I47">
        <f>Table2[[#This Row],[Total_Units]]-Table2[[#This Row],[Successful_Output]]-Table2[[#This Row],[Mortality_Count]]-Table2[[#This Row],[Contamination_Count]]</f>
        <v>225</v>
      </c>
      <c r="J47" s="6">
        <f>F47/E47</f>
        <v>0.88970414201183434</v>
      </c>
      <c r="K47" s="6">
        <f>G47/E47</f>
        <v>7.6331360946745558E-2</v>
      </c>
      <c r="L47" s="6">
        <f>H47/E47</f>
        <v>7.3372781065088755E-3</v>
      </c>
      <c r="M47" t="str">
        <f>IF(G47/E47&gt;0.06,"High Risk","Normal")</f>
        <v>High Risk</v>
      </c>
    </row>
    <row r="48" spans="1:13" x14ac:dyDescent="0.3">
      <c r="A48" t="s">
        <v>28</v>
      </c>
      <c r="B48" t="s">
        <v>58</v>
      </c>
      <c r="C48" s="4">
        <v>45704</v>
      </c>
      <c r="D48" t="s">
        <v>15</v>
      </c>
      <c r="E48">
        <v>11632</v>
      </c>
      <c r="F48">
        <v>9667</v>
      </c>
      <c r="G48">
        <v>624</v>
      </c>
      <c r="H48">
        <v>197</v>
      </c>
      <c r="I48">
        <f>Table2[[#This Row],[Total_Units]]-Table2[[#This Row],[Successful_Output]]-Table2[[#This Row],[Mortality_Count]]-Table2[[#This Row],[Contamination_Count]]</f>
        <v>1144</v>
      </c>
      <c r="J48" s="6">
        <f>F48/E48</f>
        <v>0.83106946354883082</v>
      </c>
      <c r="K48" s="6">
        <f>G48/E48</f>
        <v>5.364511691884457E-2</v>
      </c>
      <c r="L48" s="6">
        <f>H48/E48</f>
        <v>1.6936038514442916E-2</v>
      </c>
      <c r="M48" t="str">
        <f>IF(G48/E48&gt;0.06,"High Risk","Normal")</f>
        <v>Normal</v>
      </c>
    </row>
    <row r="49" spans="1:13" x14ac:dyDescent="0.3">
      <c r="A49" t="s">
        <v>28</v>
      </c>
      <c r="B49" t="s">
        <v>59</v>
      </c>
      <c r="C49" s="4">
        <v>45705</v>
      </c>
      <c r="D49" t="s">
        <v>15</v>
      </c>
      <c r="E49">
        <v>8073</v>
      </c>
      <c r="F49">
        <v>7139</v>
      </c>
      <c r="G49">
        <v>322</v>
      </c>
      <c r="H49">
        <v>195</v>
      </c>
      <c r="I49">
        <f>Table2[[#This Row],[Total_Units]]-Table2[[#This Row],[Successful_Output]]-Table2[[#This Row],[Mortality_Count]]-Table2[[#This Row],[Contamination_Count]]</f>
        <v>417</v>
      </c>
      <c r="J49" s="6">
        <f>F49/E49</f>
        <v>0.88430571039266692</v>
      </c>
      <c r="K49" s="6">
        <f>G49/E49</f>
        <v>3.9886039886039885E-2</v>
      </c>
      <c r="L49" s="6">
        <f>H49/E49</f>
        <v>2.4154589371980676E-2</v>
      </c>
      <c r="M49" t="str">
        <f>IF(G49/E49&gt;0.06,"High Risk","Normal")</f>
        <v>Normal</v>
      </c>
    </row>
    <row r="50" spans="1:13" x14ac:dyDescent="0.3">
      <c r="A50" t="s">
        <v>28</v>
      </c>
      <c r="B50" t="s">
        <v>56</v>
      </c>
      <c r="C50" s="4">
        <v>45706</v>
      </c>
      <c r="D50" t="s">
        <v>15</v>
      </c>
      <c r="E50">
        <v>11919</v>
      </c>
      <c r="F50">
        <v>10308</v>
      </c>
      <c r="G50">
        <v>608</v>
      </c>
      <c r="H50">
        <v>298</v>
      </c>
      <c r="I50">
        <f>Table2[[#This Row],[Total_Units]]-Table2[[#This Row],[Successful_Output]]-Table2[[#This Row],[Mortality_Count]]-Table2[[#This Row],[Contamination_Count]]</f>
        <v>705</v>
      </c>
      <c r="J50" s="6">
        <f>F50/E50</f>
        <v>0.86483765416561798</v>
      </c>
      <c r="K50" s="6">
        <f>G50/E50</f>
        <v>5.1010990854937495E-2</v>
      </c>
      <c r="L50" s="6">
        <f>H50/E50</f>
        <v>2.5002097491400286E-2</v>
      </c>
      <c r="M50" t="str">
        <f>IF(G50/E50&gt;0.06,"High Risk","Normal")</f>
        <v>Normal</v>
      </c>
    </row>
    <row r="51" spans="1:13" x14ac:dyDescent="0.3">
      <c r="A51" t="s">
        <v>28</v>
      </c>
      <c r="B51" t="s">
        <v>60</v>
      </c>
      <c r="C51" s="4">
        <v>45707</v>
      </c>
      <c r="D51" t="s">
        <v>15</v>
      </c>
      <c r="E51">
        <v>10012</v>
      </c>
      <c r="F51">
        <v>8192</v>
      </c>
      <c r="G51">
        <v>395</v>
      </c>
      <c r="H51">
        <v>228</v>
      </c>
      <c r="I51">
        <f>Table2[[#This Row],[Total_Units]]-Table2[[#This Row],[Successful_Output]]-Table2[[#This Row],[Mortality_Count]]-Table2[[#This Row],[Contamination_Count]]</f>
        <v>1197</v>
      </c>
      <c r="J51" s="6">
        <f>F51/E51</f>
        <v>0.81821813823411904</v>
      </c>
      <c r="K51" s="6">
        <f>G51/E51</f>
        <v>3.9452656811825811E-2</v>
      </c>
      <c r="L51" s="6">
        <f>H51/E51</f>
        <v>2.2772672792648822E-2</v>
      </c>
      <c r="M51" t="str">
        <f>IF(G51/E51&gt;0.06,"High Risk","Normal")</f>
        <v>Normal</v>
      </c>
    </row>
    <row r="52" spans="1:13" x14ac:dyDescent="0.3">
      <c r="A52" t="s">
        <v>28</v>
      </c>
      <c r="B52" t="s">
        <v>61</v>
      </c>
      <c r="C52" s="4">
        <v>45708</v>
      </c>
      <c r="D52" t="s">
        <v>15</v>
      </c>
      <c r="E52">
        <v>10884</v>
      </c>
      <c r="F52">
        <v>9776</v>
      </c>
      <c r="G52">
        <v>848</v>
      </c>
      <c r="H52">
        <v>78</v>
      </c>
      <c r="I52">
        <f>Table2[[#This Row],[Total_Units]]-Table2[[#This Row],[Successful_Output]]-Table2[[#This Row],[Mortality_Count]]-Table2[[#This Row],[Contamination_Count]]</f>
        <v>182</v>
      </c>
      <c r="J52" s="6">
        <f>F52/E52</f>
        <v>0.89819919147372285</v>
      </c>
      <c r="K52" s="6">
        <f>G52/E52</f>
        <v>7.7912532157295114E-2</v>
      </c>
      <c r="L52" s="6">
        <f>H52/E52</f>
        <v>7.1664829106945979E-3</v>
      </c>
      <c r="M52" t="str">
        <f>IF(G52/E52&gt;0.06,"High Risk","Normal")</f>
        <v>High Risk</v>
      </c>
    </row>
    <row r="53" spans="1:13" x14ac:dyDescent="0.3">
      <c r="A53" t="s">
        <v>28</v>
      </c>
      <c r="B53" t="s">
        <v>57</v>
      </c>
      <c r="C53" s="4">
        <v>45709</v>
      </c>
      <c r="D53" t="s">
        <v>15</v>
      </c>
      <c r="E53">
        <v>8719</v>
      </c>
      <c r="F53">
        <v>7906</v>
      </c>
      <c r="G53">
        <v>279</v>
      </c>
      <c r="H53">
        <v>139</v>
      </c>
      <c r="I53">
        <f>Table2[[#This Row],[Total_Units]]-Table2[[#This Row],[Successful_Output]]-Table2[[#This Row],[Mortality_Count]]-Table2[[#This Row],[Contamination_Count]]</f>
        <v>395</v>
      </c>
      <c r="J53" s="6">
        <f>F53/E53</f>
        <v>0.90675536185342354</v>
      </c>
      <c r="K53" s="6">
        <f>G53/E53</f>
        <v>3.1999082463585272E-2</v>
      </c>
      <c r="L53" s="6">
        <f>H53/E53</f>
        <v>1.5942195205872232E-2</v>
      </c>
      <c r="M53" t="str">
        <f>IF(G53/E53&gt;0.06,"High Risk","Normal")</f>
        <v>Normal</v>
      </c>
    </row>
    <row r="54" spans="1:13" x14ac:dyDescent="0.3">
      <c r="A54" t="s">
        <v>28</v>
      </c>
      <c r="B54" t="s">
        <v>62</v>
      </c>
      <c r="C54" s="4">
        <v>45710</v>
      </c>
      <c r="D54" t="s">
        <v>15</v>
      </c>
      <c r="E54">
        <v>11895</v>
      </c>
      <c r="F54">
        <v>9178</v>
      </c>
      <c r="G54">
        <v>912</v>
      </c>
      <c r="H54">
        <v>147</v>
      </c>
      <c r="I54">
        <f>Table2[[#This Row],[Total_Units]]-Table2[[#This Row],[Successful_Output]]-Table2[[#This Row],[Mortality_Count]]-Table2[[#This Row],[Contamination_Count]]</f>
        <v>1658</v>
      </c>
      <c r="J54" s="6">
        <f>F54/E54</f>
        <v>0.7715846994535519</v>
      </c>
      <c r="K54" s="6">
        <f>G54/E54</f>
        <v>7.6670870113493064E-2</v>
      </c>
      <c r="L54" s="6">
        <f>H54/E54</f>
        <v>1.235813366960908E-2</v>
      </c>
      <c r="M54" t="str">
        <f>IF(G54/E54&gt;0.06,"High Risk","Normal")</f>
        <v>High Risk</v>
      </c>
    </row>
    <row r="55" spans="1:13" x14ac:dyDescent="0.3">
      <c r="A55" t="s">
        <v>28</v>
      </c>
      <c r="B55" t="s">
        <v>63</v>
      </c>
      <c r="C55" s="4">
        <v>45711</v>
      </c>
      <c r="D55" t="s">
        <v>15</v>
      </c>
      <c r="E55">
        <v>10134</v>
      </c>
      <c r="F55">
        <v>7850</v>
      </c>
      <c r="G55">
        <v>289</v>
      </c>
      <c r="H55">
        <v>142</v>
      </c>
      <c r="I55">
        <f>Table2[[#This Row],[Total_Units]]-Table2[[#This Row],[Successful_Output]]-Table2[[#This Row],[Mortality_Count]]-Table2[[#This Row],[Contamination_Count]]</f>
        <v>1853</v>
      </c>
      <c r="J55" s="6">
        <f>F55/E55</f>
        <v>0.77462009078350114</v>
      </c>
      <c r="K55" s="6">
        <f>G55/E55</f>
        <v>2.8517860667061377E-2</v>
      </c>
      <c r="L55" s="6">
        <f>H55/E55</f>
        <v>1.4012236037102822E-2</v>
      </c>
      <c r="M55" t="str">
        <f>IF(G55/E55&gt;0.06,"High Risk","Normal")</f>
        <v>Normal</v>
      </c>
    </row>
    <row r="56" spans="1:13" x14ac:dyDescent="0.3">
      <c r="A56" t="s">
        <v>28</v>
      </c>
      <c r="B56" t="s">
        <v>55</v>
      </c>
      <c r="C56" s="4">
        <v>45712</v>
      </c>
      <c r="D56" t="s">
        <v>15</v>
      </c>
      <c r="E56">
        <v>10789</v>
      </c>
      <c r="F56">
        <v>9015</v>
      </c>
      <c r="G56">
        <v>322</v>
      </c>
      <c r="H56">
        <v>303</v>
      </c>
      <c r="I56">
        <f>Table2[[#This Row],[Total_Units]]-Table2[[#This Row],[Successful_Output]]-Table2[[#This Row],[Mortality_Count]]-Table2[[#This Row],[Contamination_Count]]</f>
        <v>1149</v>
      </c>
      <c r="J56" s="6">
        <f>F56/E56</f>
        <v>0.83557326907034946</v>
      </c>
      <c r="K56" s="6">
        <f>G56/E56</f>
        <v>2.9845212716655852E-2</v>
      </c>
      <c r="L56" s="6">
        <f>H56/E56</f>
        <v>2.808415979238113E-2</v>
      </c>
      <c r="M56" t="str">
        <f>IF(G56/E56&gt;0.06,"High Risk","Normal")</f>
        <v>Normal</v>
      </c>
    </row>
    <row r="57" spans="1:13" x14ac:dyDescent="0.3">
      <c r="A57" t="s">
        <v>28</v>
      </c>
      <c r="B57" t="s">
        <v>64</v>
      </c>
      <c r="C57" s="4">
        <v>45713</v>
      </c>
      <c r="D57" t="s">
        <v>15</v>
      </c>
      <c r="E57">
        <v>9403</v>
      </c>
      <c r="F57">
        <v>8304</v>
      </c>
      <c r="G57">
        <v>347</v>
      </c>
      <c r="H57">
        <v>196</v>
      </c>
      <c r="I57">
        <f>Table2[[#This Row],[Total_Units]]-Table2[[#This Row],[Successful_Output]]-Table2[[#This Row],[Mortality_Count]]-Table2[[#This Row],[Contamination_Count]]</f>
        <v>556</v>
      </c>
      <c r="J57" s="6">
        <f>F57/E57</f>
        <v>0.88312240774220996</v>
      </c>
      <c r="K57" s="6">
        <f>G57/E57</f>
        <v>3.6903116026799958E-2</v>
      </c>
      <c r="L57" s="6">
        <f>H57/E57</f>
        <v>2.084441135807721E-2</v>
      </c>
      <c r="M57" t="str">
        <f>IF(G57/E57&gt;0.06,"High Risk","Normal")</f>
        <v>Normal</v>
      </c>
    </row>
    <row r="58" spans="1:13" x14ac:dyDescent="0.3">
      <c r="A58" t="s">
        <v>28</v>
      </c>
      <c r="B58" t="s">
        <v>65</v>
      </c>
      <c r="C58" s="4">
        <v>45714</v>
      </c>
      <c r="D58" t="s">
        <v>15</v>
      </c>
      <c r="E58">
        <v>9365</v>
      </c>
      <c r="F58">
        <v>8216</v>
      </c>
      <c r="G58">
        <v>297</v>
      </c>
      <c r="H58">
        <v>136</v>
      </c>
      <c r="I58">
        <f>Table2[[#This Row],[Total_Units]]-Table2[[#This Row],[Successful_Output]]-Table2[[#This Row],[Mortality_Count]]-Table2[[#This Row],[Contamination_Count]]</f>
        <v>716</v>
      </c>
      <c r="J58" s="6">
        <f>F58/E58</f>
        <v>0.87730912973838759</v>
      </c>
      <c r="K58" s="6">
        <f>G58/E58</f>
        <v>3.1713828083288841E-2</v>
      </c>
      <c r="L58" s="6">
        <f>H58/E58</f>
        <v>1.4522156967431928E-2</v>
      </c>
      <c r="M58" t="str">
        <f>IF(G58/E58&gt;0.06,"High Risk","Normal")</f>
        <v>Normal</v>
      </c>
    </row>
    <row r="59" spans="1:13" x14ac:dyDescent="0.3">
      <c r="A59" t="s">
        <v>28</v>
      </c>
      <c r="B59" t="s">
        <v>53</v>
      </c>
      <c r="C59" s="4">
        <v>45715</v>
      </c>
      <c r="D59" t="s">
        <v>15</v>
      </c>
      <c r="E59">
        <v>9165</v>
      </c>
      <c r="F59">
        <v>7481</v>
      </c>
      <c r="G59">
        <v>614</v>
      </c>
      <c r="H59">
        <v>172</v>
      </c>
      <c r="I59">
        <f>Table2[[#This Row],[Total_Units]]-Table2[[#This Row],[Successful_Output]]-Table2[[#This Row],[Mortality_Count]]-Table2[[#This Row],[Contamination_Count]]</f>
        <v>898</v>
      </c>
      <c r="J59" s="6">
        <f>F59/E59</f>
        <v>0.81625750136388431</v>
      </c>
      <c r="K59" s="6">
        <f>G59/E59</f>
        <v>6.699399890889253E-2</v>
      </c>
      <c r="L59" s="6">
        <f>H59/E59</f>
        <v>1.8767048554282597E-2</v>
      </c>
      <c r="M59" t="str">
        <f>IF(G59/E59&gt;0.06,"High Risk","Normal")</f>
        <v>High Risk</v>
      </c>
    </row>
    <row r="60" spans="1:13" x14ac:dyDescent="0.3">
      <c r="A60" t="s">
        <v>28</v>
      </c>
      <c r="B60" t="s">
        <v>66</v>
      </c>
      <c r="C60" s="4">
        <v>45716</v>
      </c>
      <c r="D60" t="s">
        <v>15</v>
      </c>
      <c r="E60">
        <v>8449</v>
      </c>
      <c r="F60">
        <v>7316</v>
      </c>
      <c r="G60">
        <v>641</v>
      </c>
      <c r="H60">
        <v>233</v>
      </c>
      <c r="I60">
        <f>Table2[[#This Row],[Total_Units]]-Table2[[#This Row],[Successful_Output]]-Table2[[#This Row],[Mortality_Count]]-Table2[[#This Row],[Contamination_Count]]</f>
        <v>259</v>
      </c>
      <c r="J60" s="6">
        <f>F60/E60</f>
        <v>0.86590129009350214</v>
      </c>
      <c r="K60" s="6">
        <f>G60/E60</f>
        <v>7.5866966504911829E-2</v>
      </c>
      <c r="L60" s="6">
        <f>H60/E60</f>
        <v>2.7577228074328324E-2</v>
      </c>
      <c r="M60" t="str">
        <f>IF(G60/E60&gt;0.06,"High Risk","Normal")</f>
        <v>High Risk</v>
      </c>
    </row>
    <row r="61" spans="1:13" x14ac:dyDescent="0.3">
      <c r="A61" t="s">
        <v>29</v>
      </c>
      <c r="B61" t="s">
        <v>39</v>
      </c>
      <c r="C61" s="4">
        <v>45717</v>
      </c>
      <c r="D61" t="s">
        <v>16</v>
      </c>
      <c r="E61">
        <v>10650</v>
      </c>
      <c r="F61">
        <v>9106</v>
      </c>
      <c r="G61">
        <v>239</v>
      </c>
      <c r="H61">
        <v>174</v>
      </c>
      <c r="I61">
        <f>Table2[[#This Row],[Total_Units]]-Table2[[#This Row],[Successful_Output]]-Table2[[#This Row],[Mortality_Count]]-Table2[[#This Row],[Contamination_Count]]</f>
        <v>1131</v>
      </c>
      <c r="J61" s="6">
        <f>F61/E61</f>
        <v>0.85502347417840374</v>
      </c>
      <c r="K61" s="6">
        <f>G61/E61</f>
        <v>2.2441314553990611E-2</v>
      </c>
      <c r="L61" s="6">
        <f>H61/E61</f>
        <v>1.6338028169014085E-2</v>
      </c>
      <c r="M61" t="str">
        <f>IF(G61/E61&gt;0.06,"High Risk","Normal")</f>
        <v>Normal</v>
      </c>
    </row>
    <row r="62" spans="1:13" x14ac:dyDescent="0.3">
      <c r="A62" t="s">
        <v>29</v>
      </c>
      <c r="B62" t="s">
        <v>40</v>
      </c>
      <c r="C62" s="4">
        <v>45718</v>
      </c>
      <c r="D62" t="s">
        <v>16</v>
      </c>
      <c r="E62">
        <v>9555</v>
      </c>
      <c r="F62">
        <v>7347</v>
      </c>
      <c r="G62">
        <v>572</v>
      </c>
      <c r="H62">
        <v>144</v>
      </c>
      <c r="I62">
        <f>Table2[[#This Row],[Total_Units]]-Table2[[#This Row],[Successful_Output]]-Table2[[#This Row],[Mortality_Count]]-Table2[[#This Row],[Contamination_Count]]</f>
        <v>1492</v>
      </c>
      <c r="J62" s="6">
        <f>F62/E62</f>
        <v>0.76891679748822606</v>
      </c>
      <c r="K62" s="6">
        <f>G62/E62</f>
        <v>5.9863945578231291E-2</v>
      </c>
      <c r="L62" s="6">
        <f>H62/E62</f>
        <v>1.5070643642072213E-2</v>
      </c>
      <c r="M62" t="str">
        <f>IF(G62/E62&gt;0.06,"High Risk","Normal")</f>
        <v>Normal</v>
      </c>
    </row>
    <row r="63" spans="1:13" x14ac:dyDescent="0.3">
      <c r="A63" t="s">
        <v>29</v>
      </c>
      <c r="B63" t="s">
        <v>49</v>
      </c>
      <c r="C63" s="4">
        <v>45719</v>
      </c>
      <c r="D63" t="s">
        <v>16</v>
      </c>
      <c r="E63">
        <v>11067</v>
      </c>
      <c r="F63">
        <v>10162</v>
      </c>
      <c r="G63">
        <v>402</v>
      </c>
      <c r="H63">
        <v>224</v>
      </c>
      <c r="I63">
        <f>Table2[[#This Row],[Total_Units]]-Table2[[#This Row],[Successful_Output]]-Table2[[#This Row],[Mortality_Count]]-Table2[[#This Row],[Contamination_Count]]</f>
        <v>279</v>
      </c>
      <c r="J63" s="6">
        <f>F63/E63</f>
        <v>0.91822535465799227</v>
      </c>
      <c r="K63" s="6">
        <f>G63/E63</f>
        <v>3.6324207102195714E-2</v>
      </c>
      <c r="L63" s="6">
        <f>H63/E63</f>
        <v>2.0240354206198609E-2</v>
      </c>
      <c r="M63" t="str">
        <f>IF(G63/E63&gt;0.06,"High Risk","Normal")</f>
        <v>Normal</v>
      </c>
    </row>
    <row r="64" spans="1:13" x14ac:dyDescent="0.3">
      <c r="A64" t="s">
        <v>29</v>
      </c>
      <c r="B64" t="s">
        <v>41</v>
      </c>
      <c r="C64" s="4">
        <v>45720</v>
      </c>
      <c r="D64" t="s">
        <v>16</v>
      </c>
      <c r="E64">
        <v>11839</v>
      </c>
      <c r="F64">
        <v>10332</v>
      </c>
      <c r="G64">
        <v>802</v>
      </c>
      <c r="H64">
        <v>292</v>
      </c>
      <c r="I64">
        <f>Table2[[#This Row],[Total_Units]]-Table2[[#This Row],[Successful_Output]]-Table2[[#This Row],[Mortality_Count]]-Table2[[#This Row],[Contamination_Count]]</f>
        <v>413</v>
      </c>
      <c r="J64" s="6">
        <f>F64/E64</f>
        <v>0.87270884365233548</v>
      </c>
      <c r="K64" s="6">
        <f>G64/E64</f>
        <v>6.7742207956753106E-2</v>
      </c>
      <c r="L64" s="6">
        <f>H64/E64</f>
        <v>2.4664245290987416E-2</v>
      </c>
      <c r="M64" t="str">
        <f>IF(G64/E64&gt;0.06,"High Risk","Normal")</f>
        <v>High Risk</v>
      </c>
    </row>
    <row r="65" spans="1:13" x14ac:dyDescent="0.3">
      <c r="A65" t="s">
        <v>29</v>
      </c>
      <c r="B65" t="s">
        <v>42</v>
      </c>
      <c r="C65" s="4">
        <v>45721</v>
      </c>
      <c r="D65" t="s">
        <v>16</v>
      </c>
      <c r="E65">
        <v>9844</v>
      </c>
      <c r="F65">
        <v>7453</v>
      </c>
      <c r="G65">
        <v>511</v>
      </c>
      <c r="H65">
        <v>161</v>
      </c>
      <c r="I65">
        <f>Table2[[#This Row],[Total_Units]]-Table2[[#This Row],[Successful_Output]]-Table2[[#This Row],[Mortality_Count]]-Table2[[#This Row],[Contamination_Count]]</f>
        <v>1719</v>
      </c>
      <c r="J65" s="6">
        <f>F65/E65</f>
        <v>0.75711093051605038</v>
      </c>
      <c r="K65" s="6">
        <f>G65/E65</f>
        <v>5.1909792767167819E-2</v>
      </c>
      <c r="L65" s="6">
        <f>H65/E65</f>
        <v>1.6355140186915886E-2</v>
      </c>
      <c r="M65" t="str">
        <f>IF(G65/E65&gt;0.06,"High Risk","Normal")</f>
        <v>Normal</v>
      </c>
    </row>
    <row r="66" spans="1:13" x14ac:dyDescent="0.3">
      <c r="A66" t="s">
        <v>29</v>
      </c>
      <c r="B66" t="s">
        <v>50</v>
      </c>
      <c r="C66" s="4">
        <v>45722</v>
      </c>
      <c r="D66" t="s">
        <v>16</v>
      </c>
      <c r="E66">
        <v>10317</v>
      </c>
      <c r="F66">
        <v>9088</v>
      </c>
      <c r="G66">
        <v>786</v>
      </c>
      <c r="H66">
        <v>92</v>
      </c>
      <c r="I66">
        <f>Table2[[#This Row],[Total_Units]]-Table2[[#This Row],[Successful_Output]]-Table2[[#This Row],[Mortality_Count]]-Table2[[#This Row],[Contamination_Count]]</f>
        <v>351</v>
      </c>
      <c r="J66" s="6">
        <f>F66/E66</f>
        <v>0.88087622370844243</v>
      </c>
      <c r="K66" s="6">
        <f>G66/E66</f>
        <v>7.6184937481826115E-2</v>
      </c>
      <c r="L66" s="6">
        <f>H66/E66</f>
        <v>8.9173209266259577E-3</v>
      </c>
      <c r="M66" t="str">
        <f>IF(G66/E66&gt;0.06,"High Risk","Normal")</f>
        <v>High Risk</v>
      </c>
    </row>
    <row r="67" spans="1:13" x14ac:dyDescent="0.3">
      <c r="A67" t="s">
        <v>29</v>
      </c>
      <c r="B67" t="s">
        <v>43</v>
      </c>
      <c r="C67" s="4">
        <v>45723</v>
      </c>
      <c r="D67" t="s">
        <v>16</v>
      </c>
      <c r="E67">
        <v>10725</v>
      </c>
      <c r="F67">
        <v>9712</v>
      </c>
      <c r="G67">
        <v>362</v>
      </c>
      <c r="H67">
        <v>299</v>
      </c>
      <c r="I67">
        <f>Table2[[#This Row],[Total_Units]]-Table2[[#This Row],[Successful_Output]]-Table2[[#This Row],[Mortality_Count]]-Table2[[#This Row],[Contamination_Count]]</f>
        <v>352</v>
      </c>
      <c r="J67" s="6">
        <f>F67/E67</f>
        <v>0.90554778554778559</v>
      </c>
      <c r="K67" s="6">
        <f>G67/E67</f>
        <v>3.3752913752913755E-2</v>
      </c>
      <c r="L67" s="6">
        <f>H67/E67</f>
        <v>2.7878787878787878E-2</v>
      </c>
      <c r="M67" t="str">
        <f>IF(G67/E67&gt;0.06,"High Risk","Normal")</f>
        <v>Normal</v>
      </c>
    </row>
    <row r="68" spans="1:13" x14ac:dyDescent="0.3">
      <c r="A68" t="s">
        <v>29</v>
      </c>
      <c r="B68" t="s">
        <v>44</v>
      </c>
      <c r="C68" s="4">
        <v>45724</v>
      </c>
      <c r="D68" t="s">
        <v>16</v>
      </c>
      <c r="E68">
        <v>9526</v>
      </c>
      <c r="F68">
        <v>8474</v>
      </c>
      <c r="G68">
        <v>199</v>
      </c>
      <c r="H68">
        <v>69</v>
      </c>
      <c r="I68">
        <f>Table2[[#This Row],[Total_Units]]-Table2[[#This Row],[Successful_Output]]-Table2[[#This Row],[Mortality_Count]]-Table2[[#This Row],[Contamination_Count]]</f>
        <v>784</v>
      </c>
      <c r="J68" s="6">
        <f>F68/E68</f>
        <v>0.88956539995800965</v>
      </c>
      <c r="K68" s="6">
        <f>G68/E68</f>
        <v>2.089019525509133E-2</v>
      </c>
      <c r="L68" s="6">
        <f>H68/E68</f>
        <v>7.2433340331723699E-3</v>
      </c>
      <c r="M68" t="str">
        <f>IF(G68/E68&gt;0.06,"High Risk","Normal")</f>
        <v>Normal</v>
      </c>
    </row>
    <row r="69" spans="1:13" x14ac:dyDescent="0.3">
      <c r="A69" t="s">
        <v>29</v>
      </c>
      <c r="B69" t="s">
        <v>51</v>
      </c>
      <c r="C69" s="4">
        <v>45725</v>
      </c>
      <c r="D69" t="s">
        <v>16</v>
      </c>
      <c r="E69">
        <v>10605</v>
      </c>
      <c r="F69">
        <v>9460</v>
      </c>
      <c r="G69">
        <v>796</v>
      </c>
      <c r="H69">
        <v>302</v>
      </c>
      <c r="I69">
        <f>Table2[[#This Row],[Total_Units]]-Table2[[#This Row],[Successful_Output]]-Table2[[#This Row],[Mortality_Count]]-Table2[[#This Row],[Contamination_Count]]</f>
        <v>47</v>
      </c>
      <c r="J69" s="6">
        <f>F69/E69</f>
        <v>0.89203206034889204</v>
      </c>
      <c r="K69" s="6">
        <f>G69/E69</f>
        <v>7.5058934464875063E-2</v>
      </c>
      <c r="L69" s="6">
        <f>H69/E69</f>
        <v>2.8477133427628476E-2</v>
      </c>
      <c r="M69" t="str">
        <f>IF(G69/E69&gt;0.06,"High Risk","Normal")</f>
        <v>High Risk</v>
      </c>
    </row>
    <row r="70" spans="1:13" x14ac:dyDescent="0.3">
      <c r="A70" t="s">
        <v>29</v>
      </c>
      <c r="B70" t="s">
        <v>45</v>
      </c>
      <c r="C70" s="4">
        <v>45726</v>
      </c>
      <c r="D70" t="s">
        <v>16</v>
      </c>
      <c r="E70">
        <v>9951</v>
      </c>
      <c r="F70">
        <v>7795</v>
      </c>
      <c r="G70">
        <v>462</v>
      </c>
      <c r="H70">
        <v>149</v>
      </c>
      <c r="I70">
        <f>Table2[[#This Row],[Total_Units]]-Table2[[#This Row],[Successful_Output]]-Table2[[#This Row],[Mortality_Count]]-Table2[[#This Row],[Contamination_Count]]</f>
        <v>1545</v>
      </c>
      <c r="J70" s="6">
        <f>F70/E70</f>
        <v>0.78333835795397444</v>
      </c>
      <c r="K70" s="6">
        <f>G70/E70</f>
        <v>4.6427494724148324E-2</v>
      </c>
      <c r="L70" s="6">
        <f>H70/E70</f>
        <v>1.497336951060195E-2</v>
      </c>
      <c r="M70" t="str">
        <f>IF(G70/E70&gt;0.06,"High Risk","Normal")</f>
        <v>Normal</v>
      </c>
    </row>
    <row r="71" spans="1:13" x14ac:dyDescent="0.3">
      <c r="A71" t="s">
        <v>29</v>
      </c>
      <c r="B71" t="s">
        <v>46</v>
      </c>
      <c r="C71" s="4">
        <v>45727</v>
      </c>
      <c r="D71" t="s">
        <v>16</v>
      </c>
      <c r="E71">
        <v>8437</v>
      </c>
      <c r="F71">
        <v>7230</v>
      </c>
      <c r="G71">
        <v>337</v>
      </c>
      <c r="H71">
        <v>135</v>
      </c>
      <c r="I71">
        <f>Table2[[#This Row],[Total_Units]]-Table2[[#This Row],[Successful_Output]]-Table2[[#This Row],[Mortality_Count]]-Table2[[#This Row],[Contamination_Count]]</f>
        <v>735</v>
      </c>
      <c r="J71" s="6">
        <f>F71/E71</f>
        <v>0.85693967049899256</v>
      </c>
      <c r="K71" s="6">
        <f>G71/E71</f>
        <v>3.994310773971791E-2</v>
      </c>
      <c r="L71" s="6">
        <f>H71/E71</f>
        <v>1.6000948204338034E-2</v>
      </c>
      <c r="M71" t="str">
        <f>IF(G71/E71&gt;0.06,"High Risk","Normal")</f>
        <v>Normal</v>
      </c>
    </row>
    <row r="72" spans="1:13" x14ac:dyDescent="0.3">
      <c r="A72" t="s">
        <v>29</v>
      </c>
      <c r="B72" t="s">
        <v>52</v>
      </c>
      <c r="C72" s="4">
        <v>45728</v>
      </c>
      <c r="D72" t="s">
        <v>16</v>
      </c>
      <c r="E72">
        <v>9442</v>
      </c>
      <c r="F72">
        <v>8341</v>
      </c>
      <c r="G72">
        <v>751</v>
      </c>
      <c r="H72">
        <v>111</v>
      </c>
      <c r="I72">
        <f>Table2[[#This Row],[Total_Units]]-Table2[[#This Row],[Successful_Output]]-Table2[[#This Row],[Mortality_Count]]-Table2[[#This Row],[Contamination_Count]]</f>
        <v>239</v>
      </c>
      <c r="J72" s="6">
        <f>F72/E72</f>
        <v>0.88339334886676557</v>
      </c>
      <c r="K72" s="6">
        <f>G72/E72</f>
        <v>7.9538233425121799E-2</v>
      </c>
      <c r="L72" s="6">
        <f>H72/E72</f>
        <v>1.1755983901715738E-2</v>
      </c>
      <c r="M72" t="str">
        <f>IF(G72/E72&gt;0.06,"High Risk","Normal")</f>
        <v>High Risk</v>
      </c>
    </row>
    <row r="73" spans="1:13" x14ac:dyDescent="0.3">
      <c r="A73" t="s">
        <v>29</v>
      </c>
      <c r="B73" t="s">
        <v>47</v>
      </c>
      <c r="C73" s="4">
        <v>45729</v>
      </c>
      <c r="D73" t="s">
        <v>16</v>
      </c>
      <c r="E73">
        <v>10147</v>
      </c>
      <c r="F73">
        <v>8784</v>
      </c>
      <c r="G73">
        <v>321</v>
      </c>
      <c r="H73">
        <v>106</v>
      </c>
      <c r="I73">
        <f>Table2[[#This Row],[Total_Units]]-Table2[[#This Row],[Successful_Output]]-Table2[[#This Row],[Mortality_Count]]-Table2[[#This Row],[Contamination_Count]]</f>
        <v>936</v>
      </c>
      <c r="J73" s="6">
        <f>F73/E73</f>
        <v>0.86567458362077465</v>
      </c>
      <c r="K73" s="6">
        <f>G73/E73</f>
        <v>3.1634965999802894E-2</v>
      </c>
      <c r="L73" s="6">
        <f>H73/E73</f>
        <v>1.0446437370651424E-2</v>
      </c>
      <c r="M73" t="str">
        <f>IF(G73/E73&gt;0.06,"High Risk","Normal")</f>
        <v>Normal</v>
      </c>
    </row>
    <row r="74" spans="1:13" x14ac:dyDescent="0.3">
      <c r="A74" t="s">
        <v>29</v>
      </c>
      <c r="B74" t="s">
        <v>48</v>
      </c>
      <c r="C74" s="4">
        <v>45730</v>
      </c>
      <c r="D74" t="s">
        <v>16</v>
      </c>
      <c r="E74">
        <v>11166</v>
      </c>
      <c r="F74">
        <v>10233</v>
      </c>
      <c r="G74">
        <v>430</v>
      </c>
      <c r="H74">
        <v>289</v>
      </c>
      <c r="I74">
        <f>Table2[[#This Row],[Total_Units]]-Table2[[#This Row],[Successful_Output]]-Table2[[#This Row],[Mortality_Count]]-Table2[[#This Row],[Contamination_Count]]</f>
        <v>214</v>
      </c>
      <c r="J74" s="6">
        <f>F74/E74</f>
        <v>0.91644277270284791</v>
      </c>
      <c r="K74" s="6">
        <f>G74/E74</f>
        <v>3.8509761776822499E-2</v>
      </c>
      <c r="L74" s="6">
        <f>H74/E74</f>
        <v>2.5882142217445819E-2</v>
      </c>
      <c r="M74" t="str">
        <f>IF(G74/E74&gt;0.06,"High Risk","Normal")</f>
        <v>Normal</v>
      </c>
    </row>
    <row r="75" spans="1:13" x14ac:dyDescent="0.3">
      <c r="A75" t="s">
        <v>29</v>
      </c>
      <c r="B75" t="s">
        <v>54</v>
      </c>
      <c r="C75" s="4">
        <v>45731</v>
      </c>
      <c r="D75" t="s">
        <v>16</v>
      </c>
      <c r="E75">
        <v>8258</v>
      </c>
      <c r="F75">
        <v>7127</v>
      </c>
      <c r="G75">
        <v>634</v>
      </c>
      <c r="H75">
        <v>51</v>
      </c>
      <c r="I75">
        <f>Table2[[#This Row],[Total_Units]]-Table2[[#This Row],[Successful_Output]]-Table2[[#This Row],[Mortality_Count]]-Table2[[#This Row],[Contamination_Count]]</f>
        <v>446</v>
      </c>
      <c r="J75" s="6">
        <f>F75/E75</f>
        <v>0.86304189876483406</v>
      </c>
      <c r="K75" s="6">
        <f>G75/E75</f>
        <v>7.6774037297166378E-2</v>
      </c>
      <c r="L75" s="6">
        <f>H75/E75</f>
        <v>6.1758294986679584E-3</v>
      </c>
      <c r="M75" t="str">
        <f>IF(G75/E75&gt;0.06,"High Risk","Normal")</f>
        <v>High Risk</v>
      </c>
    </row>
    <row r="76" spans="1:13" x14ac:dyDescent="0.3">
      <c r="A76" t="s">
        <v>29</v>
      </c>
      <c r="B76" t="s">
        <v>58</v>
      </c>
      <c r="C76" s="4">
        <v>45732</v>
      </c>
      <c r="D76" t="s">
        <v>16</v>
      </c>
      <c r="E76">
        <v>8403</v>
      </c>
      <c r="F76">
        <v>7465</v>
      </c>
      <c r="G76">
        <v>361</v>
      </c>
      <c r="H76">
        <v>60</v>
      </c>
      <c r="I76">
        <f>Table2[[#This Row],[Total_Units]]-Table2[[#This Row],[Successful_Output]]-Table2[[#This Row],[Mortality_Count]]-Table2[[#This Row],[Contamination_Count]]</f>
        <v>517</v>
      </c>
      <c r="J76" s="6">
        <f>F76/E76</f>
        <v>0.88837320004760201</v>
      </c>
      <c r="K76" s="6">
        <f>G76/E76</f>
        <v>4.2960847316434604E-2</v>
      </c>
      <c r="L76" s="6">
        <f>H76/E76</f>
        <v>7.140307033202428E-3</v>
      </c>
      <c r="M76" t="str">
        <f>IF(G76/E76&gt;0.06,"High Risk","Normal")</f>
        <v>Normal</v>
      </c>
    </row>
    <row r="77" spans="1:13" x14ac:dyDescent="0.3">
      <c r="A77" t="s">
        <v>29</v>
      </c>
      <c r="B77" t="s">
        <v>59</v>
      </c>
      <c r="C77" s="4">
        <v>45733</v>
      </c>
      <c r="D77" t="s">
        <v>16</v>
      </c>
      <c r="E77">
        <v>11606</v>
      </c>
      <c r="F77">
        <v>10572</v>
      </c>
      <c r="G77">
        <v>352</v>
      </c>
      <c r="H77">
        <v>133</v>
      </c>
      <c r="I77">
        <f>Table2[[#This Row],[Total_Units]]-Table2[[#This Row],[Successful_Output]]-Table2[[#This Row],[Mortality_Count]]-Table2[[#This Row],[Contamination_Count]]</f>
        <v>549</v>
      </c>
      <c r="J77" s="6">
        <f>F77/E77</f>
        <v>0.91090815095640187</v>
      </c>
      <c r="K77" s="6">
        <f>G77/E77</f>
        <v>3.0329140099948304E-2</v>
      </c>
      <c r="L77" s="6">
        <f>H77/E77</f>
        <v>1.1459589867310011E-2</v>
      </c>
      <c r="M77" t="str">
        <f>IF(G77/E77&gt;0.06,"High Risk","Normal")</f>
        <v>Normal</v>
      </c>
    </row>
    <row r="78" spans="1:13" x14ac:dyDescent="0.3">
      <c r="A78" t="s">
        <v>29</v>
      </c>
      <c r="B78" t="s">
        <v>56</v>
      </c>
      <c r="C78" s="4">
        <v>45734</v>
      </c>
      <c r="D78" t="s">
        <v>16</v>
      </c>
      <c r="E78">
        <v>9916</v>
      </c>
      <c r="F78">
        <v>7471</v>
      </c>
      <c r="G78">
        <v>468</v>
      </c>
      <c r="H78">
        <v>224</v>
      </c>
      <c r="I78">
        <f>Table2[[#This Row],[Total_Units]]-Table2[[#This Row],[Successful_Output]]-Table2[[#This Row],[Mortality_Count]]-Table2[[#This Row],[Contamination_Count]]</f>
        <v>1753</v>
      </c>
      <c r="J78" s="6">
        <f>F78/E78</f>
        <v>0.7534288019362646</v>
      </c>
      <c r="K78" s="6">
        <f>G78/E78</f>
        <v>4.719645018152481E-2</v>
      </c>
      <c r="L78" s="6">
        <f>H78/E78</f>
        <v>2.2589753933037516E-2</v>
      </c>
      <c r="M78" t="str">
        <f>IF(G78/E78&gt;0.06,"High Risk","Normal")</f>
        <v>Normal</v>
      </c>
    </row>
    <row r="79" spans="1:13" x14ac:dyDescent="0.3">
      <c r="A79" t="s">
        <v>29</v>
      </c>
      <c r="B79" t="s">
        <v>60</v>
      </c>
      <c r="C79" s="4">
        <v>45735</v>
      </c>
      <c r="D79" t="s">
        <v>16</v>
      </c>
      <c r="E79">
        <v>11562</v>
      </c>
      <c r="F79">
        <v>10393</v>
      </c>
      <c r="G79">
        <v>249</v>
      </c>
      <c r="H79">
        <v>77</v>
      </c>
      <c r="I79">
        <f>Table2[[#This Row],[Total_Units]]-Table2[[#This Row],[Successful_Output]]-Table2[[#This Row],[Mortality_Count]]-Table2[[#This Row],[Contamination_Count]]</f>
        <v>843</v>
      </c>
      <c r="J79" s="6">
        <f>F79/E79</f>
        <v>0.89889292509946372</v>
      </c>
      <c r="K79" s="6">
        <f>G79/E79</f>
        <v>2.1536066424494033E-2</v>
      </c>
      <c r="L79" s="6">
        <f>H79/E79</f>
        <v>6.6597474485383156E-3</v>
      </c>
      <c r="M79" t="str">
        <f>IF(G79/E79&gt;0.06,"High Risk","Normal")</f>
        <v>Normal</v>
      </c>
    </row>
    <row r="80" spans="1:13" x14ac:dyDescent="0.3">
      <c r="A80" t="s">
        <v>29</v>
      </c>
      <c r="B80" t="s">
        <v>61</v>
      </c>
      <c r="C80" s="4">
        <v>45736</v>
      </c>
      <c r="D80" t="s">
        <v>16</v>
      </c>
      <c r="E80">
        <v>11926</v>
      </c>
      <c r="F80">
        <v>9515</v>
      </c>
      <c r="G80">
        <v>598</v>
      </c>
      <c r="H80">
        <v>356</v>
      </c>
      <c r="I80">
        <f>Table2[[#This Row],[Total_Units]]-Table2[[#This Row],[Successful_Output]]-Table2[[#This Row],[Mortality_Count]]-Table2[[#This Row],[Contamination_Count]]</f>
        <v>1457</v>
      </c>
      <c r="J80" s="6">
        <f>F80/E80</f>
        <v>0.79783665939963111</v>
      </c>
      <c r="K80" s="6">
        <f>G80/E80</f>
        <v>5.0142545698473921E-2</v>
      </c>
      <c r="L80" s="6">
        <f>H80/E80</f>
        <v>2.9850746268656716E-2</v>
      </c>
      <c r="M80" t="str">
        <f>IF(G80/E80&gt;0.06,"High Risk","Normal")</f>
        <v>Normal</v>
      </c>
    </row>
    <row r="81" spans="1:13" x14ac:dyDescent="0.3">
      <c r="A81" t="s">
        <v>29</v>
      </c>
      <c r="B81" t="s">
        <v>57</v>
      </c>
      <c r="C81" s="4">
        <v>45737</v>
      </c>
      <c r="D81" t="s">
        <v>16</v>
      </c>
      <c r="E81">
        <v>8653</v>
      </c>
      <c r="F81">
        <v>7624</v>
      </c>
      <c r="G81">
        <v>173</v>
      </c>
      <c r="H81">
        <v>214</v>
      </c>
      <c r="I81">
        <f>Table2[[#This Row],[Total_Units]]-Table2[[#This Row],[Successful_Output]]-Table2[[#This Row],[Mortality_Count]]-Table2[[#This Row],[Contamination_Count]]</f>
        <v>642</v>
      </c>
      <c r="J81" s="6">
        <f>F81/E81</f>
        <v>0.88108170576678613</v>
      </c>
      <c r="K81" s="6">
        <f>G81/E81</f>
        <v>1.9993065988674449E-2</v>
      </c>
      <c r="L81" s="6">
        <f>H81/E81</f>
        <v>2.4731307061134866E-2</v>
      </c>
      <c r="M81" t="str">
        <f>IF(G81/E81&gt;0.06,"High Risk","Normal")</f>
        <v>Normal</v>
      </c>
    </row>
    <row r="82" spans="1:13" x14ac:dyDescent="0.3">
      <c r="A82" t="s">
        <v>29</v>
      </c>
      <c r="B82" t="s">
        <v>62</v>
      </c>
      <c r="C82" s="4">
        <v>45738</v>
      </c>
      <c r="D82" t="s">
        <v>16</v>
      </c>
      <c r="E82">
        <v>9568</v>
      </c>
      <c r="F82">
        <v>8568</v>
      </c>
      <c r="G82">
        <v>500</v>
      </c>
      <c r="H82">
        <v>169</v>
      </c>
      <c r="I82">
        <f>Table2[[#This Row],[Total_Units]]-Table2[[#This Row],[Successful_Output]]-Table2[[#This Row],[Mortality_Count]]-Table2[[#This Row],[Contamination_Count]]</f>
        <v>331</v>
      </c>
      <c r="J82" s="6">
        <f>F82/E82</f>
        <v>0.89548494983277593</v>
      </c>
      <c r="K82" s="6">
        <f>G82/E82</f>
        <v>5.225752508361204E-2</v>
      </c>
      <c r="L82" s="6">
        <f>H82/E82</f>
        <v>1.7663043478260868E-2</v>
      </c>
      <c r="M82" t="str">
        <f>IF(G82/E82&gt;0.06,"High Risk","Normal")</f>
        <v>Normal</v>
      </c>
    </row>
    <row r="83" spans="1:13" x14ac:dyDescent="0.3">
      <c r="A83" t="s">
        <v>29</v>
      </c>
      <c r="B83" t="s">
        <v>63</v>
      </c>
      <c r="C83" s="4">
        <v>45739</v>
      </c>
      <c r="D83" t="s">
        <v>16</v>
      </c>
      <c r="E83">
        <v>9190</v>
      </c>
      <c r="F83">
        <v>7167</v>
      </c>
      <c r="G83">
        <v>369</v>
      </c>
      <c r="H83">
        <v>242</v>
      </c>
      <c r="I83">
        <f>Table2[[#This Row],[Total_Units]]-Table2[[#This Row],[Successful_Output]]-Table2[[#This Row],[Mortality_Count]]-Table2[[#This Row],[Contamination_Count]]</f>
        <v>1412</v>
      </c>
      <c r="J83" s="6">
        <f>F83/E83</f>
        <v>0.77986942328618059</v>
      </c>
      <c r="K83" s="6">
        <f>G83/E83</f>
        <v>4.015233949945593E-2</v>
      </c>
      <c r="L83" s="6">
        <f>H83/E83</f>
        <v>2.6332970620239392E-2</v>
      </c>
      <c r="M83" t="str">
        <f>IF(G83/E83&gt;0.06,"High Risk","Normal")</f>
        <v>Normal</v>
      </c>
    </row>
    <row r="84" spans="1:13" x14ac:dyDescent="0.3">
      <c r="A84" t="s">
        <v>29</v>
      </c>
      <c r="B84" t="s">
        <v>55</v>
      </c>
      <c r="C84" s="4">
        <v>45740</v>
      </c>
      <c r="D84" t="s">
        <v>16</v>
      </c>
      <c r="E84">
        <v>10888</v>
      </c>
      <c r="F84">
        <v>9555</v>
      </c>
      <c r="G84">
        <v>651</v>
      </c>
      <c r="H84">
        <v>298</v>
      </c>
      <c r="I84">
        <f>Table2[[#This Row],[Total_Units]]-Table2[[#This Row],[Successful_Output]]-Table2[[#This Row],[Mortality_Count]]-Table2[[#This Row],[Contamination_Count]]</f>
        <v>384</v>
      </c>
      <c r="J84" s="6">
        <f>F84/E84</f>
        <v>0.87757163850110209</v>
      </c>
      <c r="K84" s="6">
        <f>G84/E84</f>
        <v>5.9790595150624543E-2</v>
      </c>
      <c r="L84" s="6">
        <f>H84/E84</f>
        <v>2.7369581190301247E-2</v>
      </c>
      <c r="M84" t="str">
        <f>IF(G84/E84&gt;0.06,"High Risk","Normal")</f>
        <v>Normal</v>
      </c>
    </row>
    <row r="85" spans="1:13" x14ac:dyDescent="0.3">
      <c r="A85" t="s">
        <v>29</v>
      </c>
      <c r="B85" t="s">
        <v>64</v>
      </c>
      <c r="C85" s="4">
        <v>45741</v>
      </c>
      <c r="D85" t="s">
        <v>16</v>
      </c>
      <c r="E85">
        <v>11260</v>
      </c>
      <c r="F85">
        <v>8595</v>
      </c>
      <c r="G85">
        <v>682</v>
      </c>
      <c r="H85">
        <v>205</v>
      </c>
      <c r="I85">
        <f>Table2[[#This Row],[Total_Units]]-Table2[[#This Row],[Successful_Output]]-Table2[[#This Row],[Mortality_Count]]-Table2[[#This Row],[Contamination_Count]]</f>
        <v>1778</v>
      </c>
      <c r="J85" s="6">
        <f>F85/E85</f>
        <v>0.76332149200710475</v>
      </c>
      <c r="K85" s="6">
        <f>G85/E85</f>
        <v>6.0568383658969806E-2</v>
      </c>
      <c r="L85" s="6">
        <f>H85/E85</f>
        <v>1.8206039076376555E-2</v>
      </c>
      <c r="M85" t="str">
        <f>IF(G85/E85&gt;0.06,"High Risk","Normal")</f>
        <v>High Risk</v>
      </c>
    </row>
    <row r="86" spans="1:13" x14ac:dyDescent="0.3">
      <c r="A86" t="s">
        <v>29</v>
      </c>
      <c r="B86" t="s">
        <v>65</v>
      </c>
      <c r="C86" s="4">
        <v>45742</v>
      </c>
      <c r="D86" t="s">
        <v>16</v>
      </c>
      <c r="E86">
        <v>10178</v>
      </c>
      <c r="F86">
        <v>7920</v>
      </c>
      <c r="G86">
        <v>657</v>
      </c>
      <c r="H86">
        <v>242</v>
      </c>
      <c r="I86">
        <f>Table2[[#This Row],[Total_Units]]-Table2[[#This Row],[Successful_Output]]-Table2[[#This Row],[Mortality_Count]]-Table2[[#This Row],[Contamination_Count]]</f>
        <v>1359</v>
      </c>
      <c r="J86" s="6">
        <f>F86/E86</f>
        <v>0.77814894871291018</v>
      </c>
      <c r="K86" s="6">
        <f>G86/E86</f>
        <v>6.4550992336411872E-2</v>
      </c>
      <c r="L86" s="6">
        <f>H86/E86</f>
        <v>2.3776773432894478E-2</v>
      </c>
      <c r="M86" t="str">
        <f>IF(G86/E86&gt;0.06,"High Risk","Normal")</f>
        <v>High Risk</v>
      </c>
    </row>
    <row r="87" spans="1:13" x14ac:dyDescent="0.3">
      <c r="A87" t="s">
        <v>29</v>
      </c>
      <c r="B87" t="s">
        <v>53</v>
      </c>
      <c r="C87" s="4">
        <v>45743</v>
      </c>
      <c r="D87" t="s">
        <v>16</v>
      </c>
      <c r="E87">
        <v>10216</v>
      </c>
      <c r="F87">
        <v>9352</v>
      </c>
      <c r="G87">
        <v>631</v>
      </c>
      <c r="H87">
        <v>98</v>
      </c>
      <c r="I87">
        <f>Table2[[#This Row],[Total_Units]]-Table2[[#This Row],[Successful_Output]]-Table2[[#This Row],[Mortality_Count]]-Table2[[#This Row],[Contamination_Count]]</f>
        <v>135</v>
      </c>
      <c r="J87" s="6">
        <f>F87/E87</f>
        <v>0.91542678151918555</v>
      </c>
      <c r="K87" s="6">
        <f>G87/E87</f>
        <v>6.176585747846515E-2</v>
      </c>
      <c r="L87" s="6">
        <f>H87/E87</f>
        <v>9.5927956147220054E-3</v>
      </c>
      <c r="M87" t="str">
        <f>IF(G87/E87&gt;0.06,"High Risk","Normal")</f>
        <v>High Risk</v>
      </c>
    </row>
    <row r="88" spans="1:13" x14ac:dyDescent="0.3">
      <c r="A88" t="s">
        <v>29</v>
      </c>
      <c r="B88" t="s">
        <v>66</v>
      </c>
      <c r="C88" s="4">
        <v>45744</v>
      </c>
      <c r="D88" t="s">
        <v>16</v>
      </c>
      <c r="E88">
        <v>8875</v>
      </c>
      <c r="F88">
        <v>7920</v>
      </c>
      <c r="G88">
        <v>564</v>
      </c>
      <c r="H88">
        <v>156</v>
      </c>
      <c r="I88">
        <f>Table2[[#This Row],[Total_Units]]-Table2[[#This Row],[Successful_Output]]-Table2[[#This Row],[Mortality_Count]]-Table2[[#This Row],[Contamination_Count]]</f>
        <v>235</v>
      </c>
      <c r="J88" s="6">
        <f>F88/E88</f>
        <v>0.89239436619718315</v>
      </c>
      <c r="K88" s="6">
        <f>G88/E88</f>
        <v>6.3549295774647893E-2</v>
      </c>
      <c r="L88" s="6">
        <f>H88/E88</f>
        <v>1.7577464788732393E-2</v>
      </c>
      <c r="M88" t="str">
        <f>IF(G88/E88&gt;0.06,"High Risk","Normal")</f>
        <v>High Risk</v>
      </c>
    </row>
    <row r="89" spans="1:13" x14ac:dyDescent="0.3">
      <c r="A89" t="s">
        <v>29</v>
      </c>
      <c r="B89" t="s">
        <v>67</v>
      </c>
      <c r="C89" s="4">
        <v>45745</v>
      </c>
      <c r="D89" t="s">
        <v>16</v>
      </c>
      <c r="E89">
        <v>8884</v>
      </c>
      <c r="F89">
        <v>7743</v>
      </c>
      <c r="G89">
        <v>341</v>
      </c>
      <c r="H89">
        <v>161</v>
      </c>
      <c r="I89">
        <f>Table2[[#This Row],[Total_Units]]-Table2[[#This Row],[Successful_Output]]-Table2[[#This Row],[Mortality_Count]]-Table2[[#This Row],[Contamination_Count]]</f>
        <v>639</v>
      </c>
      <c r="J89" s="6">
        <f>F89/E89</f>
        <v>0.87156686177397569</v>
      </c>
      <c r="K89" s="6">
        <f>G89/E89</f>
        <v>3.8383610986042323E-2</v>
      </c>
      <c r="L89" s="6">
        <f>H89/E89</f>
        <v>1.8122467357046375E-2</v>
      </c>
      <c r="M89" t="str">
        <f>IF(G89/E89&gt;0.06,"High Risk","Normal")</f>
        <v>Normal</v>
      </c>
    </row>
    <row r="90" spans="1:13" x14ac:dyDescent="0.3">
      <c r="A90" t="s">
        <v>29</v>
      </c>
      <c r="B90" t="s">
        <v>68</v>
      </c>
      <c r="C90" s="4">
        <v>45746</v>
      </c>
      <c r="D90" t="s">
        <v>16</v>
      </c>
      <c r="E90">
        <v>10641</v>
      </c>
      <c r="F90">
        <v>8652</v>
      </c>
      <c r="G90">
        <v>834</v>
      </c>
      <c r="H90">
        <v>224</v>
      </c>
      <c r="I90">
        <f>Table2[[#This Row],[Total_Units]]-Table2[[#This Row],[Successful_Output]]-Table2[[#This Row],[Mortality_Count]]-Table2[[#This Row],[Contamination_Count]]</f>
        <v>931</v>
      </c>
      <c r="J90" s="6">
        <f>F90/E90</f>
        <v>0.81308147730476454</v>
      </c>
      <c r="K90" s="6">
        <f>G90/E90</f>
        <v>7.8376092472511982E-2</v>
      </c>
      <c r="L90" s="6">
        <f>H90/E90</f>
        <v>2.1050653134103939E-2</v>
      </c>
      <c r="M90" t="str">
        <f>IF(G90/E90&gt;0.06,"High Risk","Normal")</f>
        <v>High Risk</v>
      </c>
    </row>
    <row r="91" spans="1:13" x14ac:dyDescent="0.3">
      <c r="A91" t="s">
        <v>29</v>
      </c>
      <c r="B91" t="s">
        <v>69</v>
      </c>
      <c r="C91" s="4">
        <v>45747</v>
      </c>
      <c r="D91" t="s">
        <v>16</v>
      </c>
      <c r="E91">
        <v>10397</v>
      </c>
      <c r="F91">
        <v>8833</v>
      </c>
      <c r="G91">
        <v>647</v>
      </c>
      <c r="H91">
        <v>237</v>
      </c>
      <c r="I91">
        <f>Table2[[#This Row],[Total_Units]]-Table2[[#This Row],[Successful_Output]]-Table2[[#This Row],[Mortality_Count]]-Table2[[#This Row],[Contamination_Count]]</f>
        <v>680</v>
      </c>
      <c r="J91" s="6">
        <f>F91/E91</f>
        <v>0.84957199192074639</v>
      </c>
      <c r="K91" s="6">
        <f>G91/E91</f>
        <v>6.2229489275752621E-2</v>
      </c>
      <c r="L91" s="6">
        <f>H91/E91</f>
        <v>2.2795037029912476E-2</v>
      </c>
      <c r="M91" t="str">
        <f>IF(G91/E91&gt;0.06,"High Risk","Normal")</f>
        <v>High Risk</v>
      </c>
    </row>
    <row r="92" spans="1:13" x14ac:dyDescent="0.3">
      <c r="A92" t="s">
        <v>30</v>
      </c>
      <c r="B92" t="s">
        <v>39</v>
      </c>
      <c r="C92" s="4">
        <v>45748</v>
      </c>
      <c r="D92" t="s">
        <v>17</v>
      </c>
      <c r="E92">
        <v>10748</v>
      </c>
      <c r="F92">
        <v>8515</v>
      </c>
      <c r="G92">
        <v>471</v>
      </c>
      <c r="H92">
        <v>89</v>
      </c>
      <c r="I92">
        <f>Table2[[#This Row],[Total_Units]]-Table2[[#This Row],[Successful_Output]]-Table2[[#This Row],[Mortality_Count]]-Table2[[#This Row],[Contamination_Count]]</f>
        <v>1673</v>
      </c>
      <c r="J92" s="6">
        <f>F92/E92</f>
        <v>0.79224041682173429</v>
      </c>
      <c r="K92" s="6">
        <f>G92/E92</f>
        <v>4.3822106438407143E-2</v>
      </c>
      <c r="L92" s="6">
        <f>H92/E92</f>
        <v>8.2806103461109046E-3</v>
      </c>
      <c r="M92" t="str">
        <f>IF(G92/E92&gt;0.06,"High Risk","Normal")</f>
        <v>Normal</v>
      </c>
    </row>
    <row r="93" spans="1:13" x14ac:dyDescent="0.3">
      <c r="A93" t="s">
        <v>30</v>
      </c>
      <c r="B93" t="s">
        <v>40</v>
      </c>
      <c r="C93" s="4">
        <v>45749</v>
      </c>
      <c r="D93" t="s">
        <v>17</v>
      </c>
      <c r="E93">
        <v>8854</v>
      </c>
      <c r="F93">
        <v>6725</v>
      </c>
      <c r="G93">
        <v>417</v>
      </c>
      <c r="H93">
        <v>157</v>
      </c>
      <c r="I93">
        <f>Table2[[#This Row],[Total_Units]]-Table2[[#This Row],[Successful_Output]]-Table2[[#This Row],[Mortality_Count]]-Table2[[#This Row],[Contamination_Count]]</f>
        <v>1555</v>
      </c>
      <c r="J93" s="6">
        <f>F93/E93</f>
        <v>0.75954370905805291</v>
      </c>
      <c r="K93" s="6">
        <f>G93/E93</f>
        <v>4.7097357126722382E-2</v>
      </c>
      <c r="L93" s="6">
        <f>H93/E93</f>
        <v>1.7732098486559746E-2</v>
      </c>
      <c r="M93" t="str">
        <f>IF(G93/E93&gt;0.06,"High Risk","Normal")</f>
        <v>Normal</v>
      </c>
    </row>
    <row r="94" spans="1:13" x14ac:dyDescent="0.3">
      <c r="A94" t="s">
        <v>30</v>
      </c>
      <c r="B94" t="s">
        <v>49</v>
      </c>
      <c r="C94" s="4">
        <v>45750</v>
      </c>
      <c r="D94" t="s">
        <v>17</v>
      </c>
      <c r="E94">
        <v>8205</v>
      </c>
      <c r="F94">
        <v>6407</v>
      </c>
      <c r="G94">
        <v>278</v>
      </c>
      <c r="H94">
        <v>145</v>
      </c>
      <c r="I94">
        <f>Table2[[#This Row],[Total_Units]]-Table2[[#This Row],[Successful_Output]]-Table2[[#This Row],[Mortality_Count]]-Table2[[#This Row],[Contamination_Count]]</f>
        <v>1375</v>
      </c>
      <c r="J94" s="6">
        <f>F94/E94</f>
        <v>0.78086532602071912</v>
      </c>
      <c r="K94" s="6">
        <f>G94/E94</f>
        <v>3.3881779402803167E-2</v>
      </c>
      <c r="L94" s="6">
        <f>H94/E94</f>
        <v>1.7672151127361365E-2</v>
      </c>
      <c r="M94" t="str">
        <f>IF(G94/E94&gt;0.06,"High Risk","Normal")</f>
        <v>Normal</v>
      </c>
    </row>
    <row r="95" spans="1:13" x14ac:dyDescent="0.3">
      <c r="A95" t="s">
        <v>30</v>
      </c>
      <c r="B95" t="s">
        <v>41</v>
      </c>
      <c r="C95" s="4">
        <v>45751</v>
      </c>
      <c r="D95" t="s">
        <v>17</v>
      </c>
      <c r="E95">
        <v>8477</v>
      </c>
      <c r="F95">
        <v>7392</v>
      </c>
      <c r="G95">
        <v>562</v>
      </c>
      <c r="H95">
        <v>230</v>
      </c>
      <c r="I95">
        <f>Table2[[#This Row],[Total_Units]]-Table2[[#This Row],[Successful_Output]]-Table2[[#This Row],[Mortality_Count]]-Table2[[#This Row],[Contamination_Count]]</f>
        <v>293</v>
      </c>
      <c r="J95" s="6">
        <f>F95/E95</f>
        <v>0.87200660611065239</v>
      </c>
      <c r="K95" s="6">
        <f>G95/E95</f>
        <v>6.6297039046832609E-2</v>
      </c>
      <c r="L95" s="6">
        <f>H95/E95</f>
        <v>2.7132240179308719E-2</v>
      </c>
      <c r="M95" t="str">
        <f>IF(G95/E95&gt;0.06,"High Risk","Normal")</f>
        <v>High Risk</v>
      </c>
    </row>
    <row r="96" spans="1:13" x14ac:dyDescent="0.3">
      <c r="A96" t="s">
        <v>30</v>
      </c>
      <c r="B96" t="s">
        <v>42</v>
      </c>
      <c r="C96" s="4">
        <v>45752</v>
      </c>
      <c r="D96" t="s">
        <v>17</v>
      </c>
      <c r="E96">
        <v>11488</v>
      </c>
      <c r="F96">
        <v>9600</v>
      </c>
      <c r="G96">
        <v>647</v>
      </c>
      <c r="H96">
        <v>145</v>
      </c>
      <c r="I96">
        <f>Table2[[#This Row],[Total_Units]]-Table2[[#This Row],[Successful_Output]]-Table2[[#This Row],[Mortality_Count]]-Table2[[#This Row],[Contamination_Count]]</f>
        <v>1096</v>
      </c>
      <c r="J96" s="6">
        <f>F96/E96</f>
        <v>0.83565459610027859</v>
      </c>
      <c r="K96" s="6">
        <f>G96/E96</f>
        <v>5.631963788300836E-2</v>
      </c>
      <c r="L96" s="6">
        <f>H96/E96</f>
        <v>1.2621866295264624E-2</v>
      </c>
      <c r="M96" t="str">
        <f>IF(G96/E96&gt;0.06,"High Risk","Normal")</f>
        <v>Normal</v>
      </c>
    </row>
    <row r="97" spans="1:13" x14ac:dyDescent="0.3">
      <c r="A97" t="s">
        <v>30</v>
      </c>
      <c r="B97" t="s">
        <v>50</v>
      </c>
      <c r="C97" s="4">
        <v>45753</v>
      </c>
      <c r="D97" t="s">
        <v>17</v>
      </c>
      <c r="E97">
        <v>9324</v>
      </c>
      <c r="F97">
        <v>8062</v>
      </c>
      <c r="G97">
        <v>191</v>
      </c>
      <c r="H97">
        <v>52</v>
      </c>
      <c r="I97">
        <f>Table2[[#This Row],[Total_Units]]-Table2[[#This Row],[Successful_Output]]-Table2[[#This Row],[Mortality_Count]]-Table2[[#This Row],[Contamination_Count]]</f>
        <v>1019</v>
      </c>
      <c r="J97" s="6">
        <f>F97/E97</f>
        <v>0.8646503646503646</v>
      </c>
      <c r="K97" s="6">
        <f>G97/E97</f>
        <v>2.0484770484770484E-2</v>
      </c>
      <c r="L97" s="6">
        <f>H97/E97</f>
        <v>5.5770055770055773E-3</v>
      </c>
      <c r="M97" t="str">
        <f>IF(G97/E97&gt;0.06,"High Risk","Normal")</f>
        <v>Normal</v>
      </c>
    </row>
    <row r="98" spans="1:13" x14ac:dyDescent="0.3">
      <c r="A98" t="s">
        <v>30</v>
      </c>
      <c r="B98" t="s">
        <v>43</v>
      </c>
      <c r="C98" s="4">
        <v>45754</v>
      </c>
      <c r="D98" t="s">
        <v>17</v>
      </c>
      <c r="E98">
        <v>10937</v>
      </c>
      <c r="F98">
        <v>9259</v>
      </c>
      <c r="G98">
        <v>860</v>
      </c>
      <c r="H98">
        <v>305</v>
      </c>
      <c r="I98">
        <f>Table2[[#This Row],[Total_Units]]-Table2[[#This Row],[Successful_Output]]-Table2[[#This Row],[Mortality_Count]]-Table2[[#This Row],[Contamination_Count]]</f>
        <v>513</v>
      </c>
      <c r="J98" s="6">
        <f>F98/E98</f>
        <v>0.84657584346712988</v>
      </c>
      <c r="K98" s="6">
        <f>G98/E98</f>
        <v>7.86321660418762E-2</v>
      </c>
      <c r="L98" s="6">
        <f>H98/E98</f>
        <v>2.7886989119502607E-2</v>
      </c>
      <c r="M98" t="str">
        <f>IF(G98/E98&gt;0.06,"High Risk","Normal")</f>
        <v>High Risk</v>
      </c>
    </row>
    <row r="99" spans="1:13" x14ac:dyDescent="0.3">
      <c r="A99" t="s">
        <v>30</v>
      </c>
      <c r="B99" t="s">
        <v>44</v>
      </c>
      <c r="C99" s="4">
        <v>45755</v>
      </c>
      <c r="D99" t="s">
        <v>17</v>
      </c>
      <c r="E99">
        <v>10569</v>
      </c>
      <c r="F99">
        <v>9053</v>
      </c>
      <c r="G99">
        <v>523</v>
      </c>
      <c r="H99">
        <v>200</v>
      </c>
      <c r="I99">
        <f>Table2[[#This Row],[Total_Units]]-Table2[[#This Row],[Successful_Output]]-Table2[[#This Row],[Mortality_Count]]-Table2[[#This Row],[Contamination_Count]]</f>
        <v>793</v>
      </c>
      <c r="J99" s="6">
        <f>F99/E99</f>
        <v>0.85656164253950229</v>
      </c>
      <c r="K99" s="6">
        <f>G99/E99</f>
        <v>4.9484340997256127E-2</v>
      </c>
      <c r="L99" s="6">
        <f>H99/E99</f>
        <v>1.8923266155738479E-2</v>
      </c>
      <c r="M99" t="str">
        <f>IF(G99/E99&gt;0.06,"High Risk","Normal")</f>
        <v>Normal</v>
      </c>
    </row>
    <row r="100" spans="1:13" x14ac:dyDescent="0.3">
      <c r="A100" t="s">
        <v>30</v>
      </c>
      <c r="B100" t="s">
        <v>51</v>
      </c>
      <c r="C100" s="4">
        <v>45756</v>
      </c>
      <c r="D100" t="s">
        <v>17</v>
      </c>
      <c r="E100">
        <v>8887</v>
      </c>
      <c r="F100">
        <v>8075</v>
      </c>
      <c r="G100">
        <v>228</v>
      </c>
      <c r="H100">
        <v>161</v>
      </c>
      <c r="I100">
        <f>Table2[[#This Row],[Total_Units]]-Table2[[#This Row],[Successful_Output]]-Table2[[#This Row],[Mortality_Count]]-Table2[[#This Row],[Contamination_Count]]</f>
        <v>423</v>
      </c>
      <c r="J100" s="6">
        <f>F100/E100</f>
        <v>0.90863058399909979</v>
      </c>
      <c r="K100" s="6">
        <f>G100/E100</f>
        <v>2.5655451783503994E-2</v>
      </c>
      <c r="L100" s="6">
        <f>H100/E100</f>
        <v>1.8116349724316416E-2</v>
      </c>
      <c r="M100" t="str">
        <f>IF(G100/E100&gt;0.06,"High Risk","Normal")</f>
        <v>Normal</v>
      </c>
    </row>
    <row r="101" spans="1:13" x14ac:dyDescent="0.3">
      <c r="A101" t="s">
        <v>30</v>
      </c>
      <c r="B101" t="s">
        <v>45</v>
      </c>
      <c r="C101" s="4">
        <v>45757</v>
      </c>
      <c r="D101" t="s">
        <v>17</v>
      </c>
      <c r="E101">
        <v>9571</v>
      </c>
      <c r="F101">
        <v>8166</v>
      </c>
      <c r="G101">
        <v>223</v>
      </c>
      <c r="H101">
        <v>254</v>
      </c>
      <c r="I101">
        <f>Table2[[#This Row],[Total_Units]]-Table2[[#This Row],[Successful_Output]]-Table2[[#This Row],[Mortality_Count]]-Table2[[#This Row],[Contamination_Count]]</f>
        <v>928</v>
      </c>
      <c r="J101" s="6">
        <f>F101/E101</f>
        <v>0.85320238219621769</v>
      </c>
      <c r="K101" s="6">
        <f>G101/E101</f>
        <v>2.3299550726151919E-2</v>
      </c>
      <c r="L101" s="6">
        <f>H101/E101</f>
        <v>2.6538501723957789E-2</v>
      </c>
      <c r="M101" t="str">
        <f>IF(G101/E101&gt;0.06,"High Risk","Normal")</f>
        <v>Normal</v>
      </c>
    </row>
    <row r="102" spans="1:13" x14ac:dyDescent="0.3">
      <c r="A102" t="s">
        <v>30</v>
      </c>
      <c r="B102" t="s">
        <v>46</v>
      </c>
      <c r="C102" s="4">
        <v>45758</v>
      </c>
      <c r="D102" t="s">
        <v>17</v>
      </c>
      <c r="E102">
        <v>11521</v>
      </c>
      <c r="F102">
        <v>9459</v>
      </c>
      <c r="G102">
        <v>745</v>
      </c>
      <c r="H102">
        <v>143</v>
      </c>
      <c r="I102">
        <f>Table2[[#This Row],[Total_Units]]-Table2[[#This Row],[Successful_Output]]-Table2[[#This Row],[Mortality_Count]]-Table2[[#This Row],[Contamination_Count]]</f>
        <v>1174</v>
      </c>
      <c r="J102" s="6">
        <f>F102/E102</f>
        <v>0.82102248068744033</v>
      </c>
      <c r="K102" s="6">
        <f>G102/E102</f>
        <v>6.466452564881521E-2</v>
      </c>
      <c r="L102" s="6">
        <f>H102/E102</f>
        <v>1.2412117003732315E-2</v>
      </c>
      <c r="M102" t="str">
        <f>IF(G102/E102&gt;0.06,"High Risk","Normal")</f>
        <v>High Risk</v>
      </c>
    </row>
    <row r="103" spans="1:13" x14ac:dyDescent="0.3">
      <c r="A103" t="s">
        <v>30</v>
      </c>
      <c r="B103" t="s">
        <v>52</v>
      </c>
      <c r="C103" s="4">
        <v>45759</v>
      </c>
      <c r="D103" t="s">
        <v>17</v>
      </c>
      <c r="E103">
        <v>10924</v>
      </c>
      <c r="F103">
        <v>9614</v>
      </c>
      <c r="G103">
        <v>639</v>
      </c>
      <c r="H103">
        <v>199</v>
      </c>
      <c r="I103">
        <f>Table2[[#This Row],[Total_Units]]-Table2[[#This Row],[Successful_Output]]-Table2[[#This Row],[Mortality_Count]]-Table2[[#This Row],[Contamination_Count]]</f>
        <v>472</v>
      </c>
      <c r="J103" s="6">
        <f>F103/E103</f>
        <v>0.88008055657268403</v>
      </c>
      <c r="K103" s="6">
        <f>G103/E103</f>
        <v>5.8495056755767119E-2</v>
      </c>
      <c r="L103" s="6">
        <f>H103/E103</f>
        <v>1.821677041376785E-2</v>
      </c>
      <c r="M103" t="str">
        <f>IF(G103/E103&gt;0.06,"High Risk","Normal")</f>
        <v>Normal</v>
      </c>
    </row>
    <row r="104" spans="1:13" x14ac:dyDescent="0.3">
      <c r="A104" t="s">
        <v>30</v>
      </c>
      <c r="B104" t="s">
        <v>47</v>
      </c>
      <c r="C104" s="4">
        <v>45760</v>
      </c>
      <c r="D104" t="s">
        <v>17</v>
      </c>
      <c r="E104">
        <v>8060</v>
      </c>
      <c r="F104">
        <v>6710</v>
      </c>
      <c r="G104">
        <v>256</v>
      </c>
      <c r="H104">
        <v>54</v>
      </c>
      <c r="I104">
        <f>Table2[[#This Row],[Total_Units]]-Table2[[#This Row],[Successful_Output]]-Table2[[#This Row],[Mortality_Count]]-Table2[[#This Row],[Contamination_Count]]</f>
        <v>1040</v>
      </c>
      <c r="J104" s="6">
        <f>F104/E104</f>
        <v>0.83250620347394544</v>
      </c>
      <c r="K104" s="6">
        <f>G104/E104</f>
        <v>3.1761786600496278E-2</v>
      </c>
      <c r="L104" s="6">
        <f>H104/E104</f>
        <v>6.6997518610421841E-3</v>
      </c>
      <c r="M104" t="str">
        <f>IF(G104/E104&gt;0.06,"High Risk","Normal")</f>
        <v>Normal</v>
      </c>
    </row>
    <row r="105" spans="1:13" x14ac:dyDescent="0.3">
      <c r="A105" t="s">
        <v>30</v>
      </c>
      <c r="B105" t="s">
        <v>48</v>
      </c>
      <c r="C105" s="4">
        <v>45761</v>
      </c>
      <c r="D105" t="s">
        <v>17</v>
      </c>
      <c r="E105">
        <v>11083</v>
      </c>
      <c r="F105">
        <v>9831</v>
      </c>
      <c r="G105">
        <v>410</v>
      </c>
      <c r="H105">
        <v>180</v>
      </c>
      <c r="I105">
        <f>Table2[[#This Row],[Total_Units]]-Table2[[#This Row],[Successful_Output]]-Table2[[#This Row],[Mortality_Count]]-Table2[[#This Row],[Contamination_Count]]</f>
        <v>662</v>
      </c>
      <c r="J105" s="6">
        <f>F105/E105</f>
        <v>0.88703419651718851</v>
      </c>
      <c r="K105" s="6">
        <f>G105/E105</f>
        <v>3.6993593792294506E-2</v>
      </c>
      <c r="L105" s="6">
        <f>H105/E105</f>
        <v>1.624108995759271E-2</v>
      </c>
      <c r="M105" t="str">
        <f>IF(G105/E105&gt;0.06,"High Risk","Normal")</f>
        <v>Normal</v>
      </c>
    </row>
    <row r="106" spans="1:13" x14ac:dyDescent="0.3">
      <c r="A106" t="s">
        <v>30</v>
      </c>
      <c r="B106" t="s">
        <v>54</v>
      </c>
      <c r="C106" s="4">
        <v>45762</v>
      </c>
      <c r="D106" t="s">
        <v>17</v>
      </c>
      <c r="E106">
        <v>9633</v>
      </c>
      <c r="F106">
        <v>8010</v>
      </c>
      <c r="G106">
        <v>708</v>
      </c>
      <c r="H106">
        <v>50</v>
      </c>
      <c r="I106">
        <f>Table2[[#This Row],[Total_Units]]-Table2[[#This Row],[Successful_Output]]-Table2[[#This Row],[Mortality_Count]]-Table2[[#This Row],[Contamination_Count]]</f>
        <v>865</v>
      </c>
      <c r="J106" s="6">
        <f>F106/E106</f>
        <v>0.83151666147617564</v>
      </c>
      <c r="K106" s="6">
        <f>G106/E106</f>
        <v>7.3497352849579575E-2</v>
      </c>
      <c r="L106" s="6">
        <f>H106/E106</f>
        <v>5.1904910204505347E-3</v>
      </c>
      <c r="M106" t="str">
        <f>IF(G106/E106&gt;0.06,"High Risk","Normal")</f>
        <v>High Risk</v>
      </c>
    </row>
    <row r="107" spans="1:13" x14ac:dyDescent="0.3">
      <c r="A107" t="s">
        <v>30</v>
      </c>
      <c r="B107" t="s">
        <v>58</v>
      </c>
      <c r="C107" s="4">
        <v>45763</v>
      </c>
      <c r="D107" t="s">
        <v>17</v>
      </c>
      <c r="E107">
        <v>10078</v>
      </c>
      <c r="F107">
        <v>8322</v>
      </c>
      <c r="G107">
        <v>446</v>
      </c>
      <c r="H107">
        <v>77</v>
      </c>
      <c r="I107">
        <f>Table2[[#This Row],[Total_Units]]-Table2[[#This Row],[Successful_Output]]-Table2[[#This Row],[Mortality_Count]]-Table2[[#This Row],[Contamination_Count]]</f>
        <v>1233</v>
      </c>
      <c r="J107" s="6">
        <f>F107/E107</f>
        <v>0.82575907918237745</v>
      </c>
      <c r="K107" s="6">
        <f>G107/E107</f>
        <v>4.4254812462790234E-2</v>
      </c>
      <c r="L107" s="6">
        <f>H107/E107</f>
        <v>7.6404048422306012E-3</v>
      </c>
      <c r="M107" t="str">
        <f>IF(G107/E107&gt;0.06,"High Risk","Normal")</f>
        <v>Normal</v>
      </c>
    </row>
    <row r="108" spans="1:13" x14ac:dyDescent="0.3">
      <c r="A108" t="s">
        <v>30</v>
      </c>
      <c r="B108" t="s">
        <v>59</v>
      </c>
      <c r="C108" s="4">
        <v>45764</v>
      </c>
      <c r="D108" t="s">
        <v>17</v>
      </c>
      <c r="E108">
        <v>11379</v>
      </c>
      <c r="F108">
        <v>9302</v>
      </c>
      <c r="G108">
        <v>855</v>
      </c>
      <c r="H108">
        <v>161</v>
      </c>
      <c r="I108">
        <f>Table2[[#This Row],[Total_Units]]-Table2[[#This Row],[Successful_Output]]-Table2[[#This Row],[Mortality_Count]]-Table2[[#This Row],[Contamination_Count]]</f>
        <v>1061</v>
      </c>
      <c r="J108" s="6">
        <f>F108/E108</f>
        <v>0.81747077950610769</v>
      </c>
      <c r="K108" s="6">
        <f>G108/E108</f>
        <v>7.5138412865805429E-2</v>
      </c>
      <c r="L108" s="6">
        <f>H108/E108</f>
        <v>1.4148870726777396E-2</v>
      </c>
      <c r="M108" t="str">
        <f>IF(G108/E108&gt;0.06,"High Risk","Normal")</f>
        <v>High Risk</v>
      </c>
    </row>
    <row r="109" spans="1:13" x14ac:dyDescent="0.3">
      <c r="A109" t="s">
        <v>30</v>
      </c>
      <c r="B109" t="s">
        <v>56</v>
      </c>
      <c r="C109" s="4">
        <v>45765</v>
      </c>
      <c r="D109" t="s">
        <v>17</v>
      </c>
      <c r="E109">
        <v>10340</v>
      </c>
      <c r="F109">
        <v>8387</v>
      </c>
      <c r="G109">
        <v>627</v>
      </c>
      <c r="H109">
        <v>174</v>
      </c>
      <c r="I109">
        <f>Table2[[#This Row],[Total_Units]]-Table2[[#This Row],[Successful_Output]]-Table2[[#This Row],[Mortality_Count]]-Table2[[#This Row],[Contamination_Count]]</f>
        <v>1152</v>
      </c>
      <c r="J109" s="6">
        <f>F109/E109</f>
        <v>0.8111218568665377</v>
      </c>
      <c r="K109" s="6">
        <f>G109/E109</f>
        <v>6.0638297872340423E-2</v>
      </c>
      <c r="L109" s="6">
        <f>H109/E109</f>
        <v>1.6827852998065763E-2</v>
      </c>
      <c r="M109" t="str">
        <f>IF(G109/E109&gt;0.06,"High Risk","Normal")</f>
        <v>High Risk</v>
      </c>
    </row>
    <row r="110" spans="1:13" x14ac:dyDescent="0.3">
      <c r="A110" t="s">
        <v>30</v>
      </c>
      <c r="B110" t="s">
        <v>60</v>
      </c>
      <c r="C110" s="4">
        <v>45766</v>
      </c>
      <c r="D110" t="s">
        <v>17</v>
      </c>
      <c r="E110">
        <v>8606</v>
      </c>
      <c r="F110">
        <v>7333</v>
      </c>
      <c r="G110">
        <v>232</v>
      </c>
      <c r="H110">
        <v>78</v>
      </c>
      <c r="I110">
        <f>Table2[[#This Row],[Total_Units]]-Table2[[#This Row],[Successful_Output]]-Table2[[#This Row],[Mortality_Count]]-Table2[[#This Row],[Contamination_Count]]</f>
        <v>963</v>
      </c>
      <c r="J110" s="6">
        <f>F110/E110</f>
        <v>0.85207994422495936</v>
      </c>
      <c r="K110" s="6">
        <f>G110/E110</f>
        <v>2.6957936323495236E-2</v>
      </c>
      <c r="L110" s="6">
        <f>H110/E110</f>
        <v>9.0634441087613302E-3</v>
      </c>
      <c r="M110" t="str">
        <f>IF(G110/E110&gt;0.06,"High Risk","Normal")</f>
        <v>Normal</v>
      </c>
    </row>
    <row r="111" spans="1:13" x14ac:dyDescent="0.3">
      <c r="A111" t="s">
        <v>30</v>
      </c>
      <c r="B111" t="s">
        <v>61</v>
      </c>
      <c r="C111" s="4">
        <v>45767</v>
      </c>
      <c r="D111" t="s">
        <v>17</v>
      </c>
      <c r="E111">
        <v>10055</v>
      </c>
      <c r="F111">
        <v>9172</v>
      </c>
      <c r="G111">
        <v>657</v>
      </c>
      <c r="H111">
        <v>240</v>
      </c>
      <c r="I111">
        <f>Table2[[#This Row],[Total_Units]]-Table2[[#This Row],[Successful_Output]]-Table2[[#This Row],[Mortality_Count]]-Table2[[#This Row],[Contamination_Count]]</f>
        <v>-14</v>
      </c>
      <c r="J111" s="6">
        <f>F111/E111</f>
        <v>0.91218299353555443</v>
      </c>
      <c r="K111" s="6">
        <f>G111/E111</f>
        <v>6.5340626553953257E-2</v>
      </c>
      <c r="L111" s="6">
        <f>H111/E111</f>
        <v>2.3868722028841372E-2</v>
      </c>
      <c r="M111" t="str">
        <f>IF(G111/E111&gt;0.06,"High Risk","Normal")</f>
        <v>High Risk</v>
      </c>
    </row>
    <row r="112" spans="1:13" x14ac:dyDescent="0.3">
      <c r="A112" t="s">
        <v>30</v>
      </c>
      <c r="B112" t="s">
        <v>57</v>
      </c>
      <c r="C112" s="4">
        <v>45768</v>
      </c>
      <c r="D112" t="s">
        <v>17</v>
      </c>
      <c r="E112">
        <v>8702</v>
      </c>
      <c r="F112">
        <v>6581</v>
      </c>
      <c r="G112">
        <v>442</v>
      </c>
      <c r="H112">
        <v>143</v>
      </c>
      <c r="I112">
        <f>Table2[[#This Row],[Total_Units]]-Table2[[#This Row],[Successful_Output]]-Table2[[#This Row],[Mortality_Count]]-Table2[[#This Row],[Contamination_Count]]</f>
        <v>1536</v>
      </c>
      <c r="J112" s="6">
        <f>F112/E112</f>
        <v>0.75626292806251438</v>
      </c>
      <c r="K112" s="6">
        <f>G112/E112</f>
        <v>5.0792921167547689E-2</v>
      </c>
      <c r="L112" s="6">
        <f>H112/E112</f>
        <v>1.6433003907147782E-2</v>
      </c>
      <c r="M112" t="str">
        <f>IF(G112/E112&gt;0.06,"High Risk","Normal")</f>
        <v>Normal</v>
      </c>
    </row>
    <row r="113" spans="1:13" x14ac:dyDescent="0.3">
      <c r="A113" t="s">
        <v>30</v>
      </c>
      <c r="B113" t="s">
        <v>62</v>
      </c>
      <c r="C113" s="4">
        <v>45769</v>
      </c>
      <c r="D113" t="s">
        <v>17</v>
      </c>
      <c r="E113">
        <v>11952</v>
      </c>
      <c r="F113">
        <v>10700</v>
      </c>
      <c r="G113">
        <v>501</v>
      </c>
      <c r="H113">
        <v>121</v>
      </c>
      <c r="I113">
        <f>Table2[[#This Row],[Total_Units]]-Table2[[#This Row],[Successful_Output]]-Table2[[#This Row],[Mortality_Count]]-Table2[[#This Row],[Contamination_Count]]</f>
        <v>630</v>
      </c>
      <c r="J113" s="6">
        <f>F113/E113</f>
        <v>0.8952476572958501</v>
      </c>
      <c r="K113" s="6">
        <f>G113/E113</f>
        <v>4.1917670682730925E-2</v>
      </c>
      <c r="L113" s="6">
        <f>H113/E113</f>
        <v>1.0123828647925033E-2</v>
      </c>
      <c r="M113" t="str">
        <f>IF(G113/E113&gt;0.06,"High Risk","Normal")</f>
        <v>Normal</v>
      </c>
    </row>
    <row r="114" spans="1:13" x14ac:dyDescent="0.3">
      <c r="A114" t="s">
        <v>30</v>
      </c>
      <c r="B114" t="s">
        <v>63</v>
      </c>
      <c r="C114" s="4">
        <v>45770</v>
      </c>
      <c r="D114" t="s">
        <v>17</v>
      </c>
      <c r="E114">
        <v>9526</v>
      </c>
      <c r="F114">
        <v>7778</v>
      </c>
      <c r="G114">
        <v>235</v>
      </c>
      <c r="H114">
        <v>236</v>
      </c>
      <c r="I114">
        <f>Table2[[#This Row],[Total_Units]]-Table2[[#This Row],[Successful_Output]]-Table2[[#This Row],[Mortality_Count]]-Table2[[#This Row],[Contamination_Count]]</f>
        <v>1277</v>
      </c>
      <c r="J114" s="6">
        <f>F114/E114</f>
        <v>0.81650220449296662</v>
      </c>
      <c r="K114" s="6">
        <f>G114/E114</f>
        <v>2.4669326055007348E-2</v>
      </c>
      <c r="L114" s="6">
        <f>H114/E114</f>
        <v>2.477430191056057E-2</v>
      </c>
      <c r="M114" t="str">
        <f>IF(G114/E114&gt;0.06,"High Risk","Normal")</f>
        <v>Normal</v>
      </c>
    </row>
    <row r="115" spans="1:13" x14ac:dyDescent="0.3">
      <c r="A115" t="s">
        <v>30</v>
      </c>
      <c r="B115" t="s">
        <v>55</v>
      </c>
      <c r="C115" s="4">
        <v>45771</v>
      </c>
      <c r="D115" t="s">
        <v>17</v>
      </c>
      <c r="E115">
        <v>11596</v>
      </c>
      <c r="F115">
        <v>8860</v>
      </c>
      <c r="G115">
        <v>616</v>
      </c>
      <c r="H115">
        <v>335</v>
      </c>
      <c r="I115">
        <f>Table2[[#This Row],[Total_Units]]-Table2[[#This Row],[Successful_Output]]-Table2[[#This Row],[Mortality_Count]]-Table2[[#This Row],[Contamination_Count]]</f>
        <v>1785</v>
      </c>
      <c r="J115" s="6">
        <f>F115/E115</f>
        <v>0.76405657123145909</v>
      </c>
      <c r="K115" s="6">
        <f>G115/E115</f>
        <v>5.3121766126250435E-2</v>
      </c>
      <c r="L115" s="6">
        <f>H115/E115</f>
        <v>2.8889272162814762E-2</v>
      </c>
      <c r="M115" t="str">
        <f>IF(G115/E115&gt;0.06,"High Risk","Normal")</f>
        <v>Normal</v>
      </c>
    </row>
    <row r="116" spans="1:13" x14ac:dyDescent="0.3">
      <c r="A116" t="s">
        <v>30</v>
      </c>
      <c r="B116" t="s">
        <v>64</v>
      </c>
      <c r="C116" s="4">
        <v>45772</v>
      </c>
      <c r="D116" t="s">
        <v>17</v>
      </c>
      <c r="E116">
        <v>11694</v>
      </c>
      <c r="F116">
        <v>9173</v>
      </c>
      <c r="G116">
        <v>747</v>
      </c>
      <c r="H116">
        <v>204</v>
      </c>
      <c r="I116">
        <f>Table2[[#This Row],[Total_Units]]-Table2[[#This Row],[Successful_Output]]-Table2[[#This Row],[Mortality_Count]]-Table2[[#This Row],[Contamination_Count]]</f>
        <v>1570</v>
      </c>
      <c r="J116" s="6">
        <f>F116/E116</f>
        <v>0.784419360355738</v>
      </c>
      <c r="K116" s="6">
        <f>G116/E116</f>
        <v>6.3878912262698817E-2</v>
      </c>
      <c r="L116" s="6">
        <f>H116/E116</f>
        <v>1.7444843509492047E-2</v>
      </c>
      <c r="M116" t="str">
        <f>IF(G116/E116&gt;0.06,"High Risk","Normal")</f>
        <v>High Risk</v>
      </c>
    </row>
    <row r="117" spans="1:13" x14ac:dyDescent="0.3">
      <c r="A117" t="s">
        <v>30</v>
      </c>
      <c r="B117" t="s">
        <v>65</v>
      </c>
      <c r="C117" s="4">
        <v>45773</v>
      </c>
      <c r="D117" t="s">
        <v>17</v>
      </c>
      <c r="E117">
        <v>9323</v>
      </c>
      <c r="F117">
        <v>7754</v>
      </c>
      <c r="G117">
        <v>602</v>
      </c>
      <c r="H117">
        <v>87</v>
      </c>
      <c r="I117">
        <f>Table2[[#This Row],[Total_Units]]-Table2[[#This Row],[Successful_Output]]-Table2[[#This Row],[Mortality_Count]]-Table2[[#This Row],[Contamination_Count]]</f>
        <v>880</v>
      </c>
      <c r="J117" s="6">
        <f>F117/E117</f>
        <v>0.8317065322321141</v>
      </c>
      <c r="K117" s="6">
        <f>G117/E117</f>
        <v>6.4571489863777753E-2</v>
      </c>
      <c r="L117" s="6">
        <f>H117/E117</f>
        <v>9.3317601630376491E-3</v>
      </c>
      <c r="M117" t="str">
        <f>IF(G117/E117&gt;0.06,"High Risk","Normal")</f>
        <v>High Risk</v>
      </c>
    </row>
    <row r="118" spans="1:13" x14ac:dyDescent="0.3">
      <c r="A118" t="s">
        <v>30</v>
      </c>
      <c r="B118" t="s">
        <v>53</v>
      </c>
      <c r="C118" s="4">
        <v>45774</v>
      </c>
      <c r="D118" t="s">
        <v>17</v>
      </c>
      <c r="E118">
        <v>9130</v>
      </c>
      <c r="F118">
        <v>7224</v>
      </c>
      <c r="G118">
        <v>541</v>
      </c>
      <c r="H118">
        <v>260</v>
      </c>
      <c r="I118">
        <f>Table2[[#This Row],[Total_Units]]-Table2[[#This Row],[Successful_Output]]-Table2[[#This Row],[Mortality_Count]]-Table2[[#This Row],[Contamination_Count]]</f>
        <v>1105</v>
      </c>
      <c r="J118" s="6">
        <f>F118/E118</f>
        <v>0.79123767798466593</v>
      </c>
      <c r="K118" s="6">
        <f>G118/E118</f>
        <v>5.9255202628696602E-2</v>
      </c>
      <c r="L118" s="6">
        <f>H118/E118</f>
        <v>2.8477546549835708E-2</v>
      </c>
      <c r="M118" t="str">
        <f>IF(G118/E118&gt;0.06,"High Risk","Normal")</f>
        <v>Normal</v>
      </c>
    </row>
    <row r="119" spans="1:13" x14ac:dyDescent="0.3">
      <c r="A119" t="s">
        <v>30</v>
      </c>
      <c r="B119" t="s">
        <v>66</v>
      </c>
      <c r="C119" s="4">
        <v>45775</v>
      </c>
      <c r="D119" t="s">
        <v>17</v>
      </c>
      <c r="E119">
        <v>10630</v>
      </c>
      <c r="F119">
        <v>9489</v>
      </c>
      <c r="G119">
        <v>801</v>
      </c>
      <c r="H119">
        <v>308</v>
      </c>
      <c r="I119">
        <f>Table2[[#This Row],[Total_Units]]-Table2[[#This Row],[Successful_Output]]-Table2[[#This Row],[Mortality_Count]]-Table2[[#This Row],[Contamination_Count]]</f>
        <v>32</v>
      </c>
      <c r="J119" s="6">
        <f>F119/E119</f>
        <v>0.89266227657572905</v>
      </c>
      <c r="K119" s="6">
        <f>G119/E119</f>
        <v>7.5352775164628405E-2</v>
      </c>
      <c r="L119" s="6">
        <f>H119/E119</f>
        <v>2.8974600188146755E-2</v>
      </c>
      <c r="M119" t="str">
        <f>IF(G119/E119&gt;0.06,"High Risk","Normal")</f>
        <v>High Risk</v>
      </c>
    </row>
    <row r="120" spans="1:13" x14ac:dyDescent="0.3">
      <c r="A120" t="s">
        <v>30</v>
      </c>
      <c r="B120" t="s">
        <v>67</v>
      </c>
      <c r="C120" s="4">
        <v>45776</v>
      </c>
      <c r="D120" t="s">
        <v>17</v>
      </c>
      <c r="E120">
        <v>11629</v>
      </c>
      <c r="F120">
        <v>9908</v>
      </c>
      <c r="G120">
        <v>551</v>
      </c>
      <c r="H120">
        <v>269</v>
      </c>
      <c r="I120">
        <f>Table2[[#This Row],[Total_Units]]-Table2[[#This Row],[Successful_Output]]-Table2[[#This Row],[Mortality_Count]]-Table2[[#This Row],[Contamination_Count]]</f>
        <v>901</v>
      </c>
      <c r="J120" s="6">
        <f>F120/E120</f>
        <v>0.8520079112563419</v>
      </c>
      <c r="K120" s="6">
        <f>G120/E120</f>
        <v>4.738154613466334E-2</v>
      </c>
      <c r="L120" s="6">
        <f>H120/E120</f>
        <v>2.313182560839281E-2</v>
      </c>
      <c r="M120" t="str">
        <f>IF(G120/E120&gt;0.06,"High Risk","Normal")</f>
        <v>Normal</v>
      </c>
    </row>
    <row r="121" spans="1:13" x14ac:dyDescent="0.3">
      <c r="A121" t="s">
        <v>30</v>
      </c>
      <c r="B121" t="s">
        <v>68</v>
      </c>
      <c r="C121" s="4">
        <v>45777</v>
      </c>
      <c r="D121" t="s">
        <v>17</v>
      </c>
      <c r="E121">
        <v>10944</v>
      </c>
      <c r="F121">
        <v>9438</v>
      </c>
      <c r="G121">
        <v>234</v>
      </c>
      <c r="H121">
        <v>257</v>
      </c>
      <c r="I121">
        <f>Table2[[#This Row],[Total_Units]]-Table2[[#This Row],[Successful_Output]]-Table2[[#This Row],[Mortality_Count]]-Table2[[#This Row],[Contamination_Count]]</f>
        <v>1015</v>
      </c>
      <c r="J121" s="6">
        <f>F121/E121</f>
        <v>0.86239035087719296</v>
      </c>
      <c r="K121" s="6">
        <f>G121/E121</f>
        <v>2.1381578947368422E-2</v>
      </c>
      <c r="L121" s="6">
        <f>H121/E121</f>
        <v>2.3483187134502925E-2</v>
      </c>
      <c r="M121" t="str">
        <f>IF(G121/E121&gt;0.06,"High Risk","Normal")</f>
        <v>Normal</v>
      </c>
    </row>
    <row r="122" spans="1:13" x14ac:dyDescent="0.3">
      <c r="A122" t="s">
        <v>31</v>
      </c>
      <c r="B122" t="s">
        <v>39</v>
      </c>
      <c r="C122" s="4">
        <v>45778</v>
      </c>
      <c r="D122" t="s">
        <v>18</v>
      </c>
      <c r="E122">
        <v>10412</v>
      </c>
      <c r="F122">
        <v>8954</v>
      </c>
      <c r="G122">
        <v>673</v>
      </c>
      <c r="H122">
        <v>252</v>
      </c>
      <c r="I122">
        <f>Table2[[#This Row],[Total_Units]]-Table2[[#This Row],[Successful_Output]]-Table2[[#This Row],[Mortality_Count]]-Table2[[#This Row],[Contamination_Count]]</f>
        <v>533</v>
      </c>
      <c r="J122" s="6">
        <f>F122/E122</f>
        <v>0.85996926623127157</v>
      </c>
      <c r="K122" s="6">
        <f>G122/E122</f>
        <v>6.4636957356895883E-2</v>
      </c>
      <c r="L122" s="6">
        <f>H122/E122</f>
        <v>2.4202842873607376E-2</v>
      </c>
      <c r="M122" t="str">
        <f>IF(G122/E122&gt;0.06,"High Risk","Normal")</f>
        <v>High Risk</v>
      </c>
    </row>
    <row r="123" spans="1:13" x14ac:dyDescent="0.3">
      <c r="A123" t="s">
        <v>31</v>
      </c>
      <c r="B123" t="s">
        <v>40</v>
      </c>
      <c r="C123" s="4">
        <v>45779</v>
      </c>
      <c r="D123" t="s">
        <v>18</v>
      </c>
      <c r="E123">
        <v>10781</v>
      </c>
      <c r="F123">
        <v>8207</v>
      </c>
      <c r="G123">
        <v>269</v>
      </c>
      <c r="H123">
        <v>187</v>
      </c>
      <c r="I123">
        <f>Table2[[#This Row],[Total_Units]]-Table2[[#This Row],[Successful_Output]]-Table2[[#This Row],[Mortality_Count]]-Table2[[#This Row],[Contamination_Count]]</f>
        <v>2118</v>
      </c>
      <c r="J123" s="6">
        <f>F123/E123</f>
        <v>0.76124663760319078</v>
      </c>
      <c r="K123" s="6">
        <f>G123/E123</f>
        <v>2.4951303218625358E-2</v>
      </c>
      <c r="L123" s="6">
        <f>H123/E123</f>
        <v>1.7345329746776737E-2</v>
      </c>
      <c r="M123" t="str">
        <f>IF(G123/E123&gt;0.06,"High Risk","Normal")</f>
        <v>Normal</v>
      </c>
    </row>
    <row r="124" spans="1:13" x14ac:dyDescent="0.3">
      <c r="A124" t="s">
        <v>31</v>
      </c>
      <c r="B124" t="s">
        <v>49</v>
      </c>
      <c r="C124" s="4">
        <v>45780</v>
      </c>
      <c r="D124" t="s">
        <v>18</v>
      </c>
      <c r="E124">
        <v>8967</v>
      </c>
      <c r="F124">
        <v>7569</v>
      </c>
      <c r="G124">
        <v>402</v>
      </c>
      <c r="H124">
        <v>66</v>
      </c>
      <c r="I124">
        <f>Table2[[#This Row],[Total_Units]]-Table2[[#This Row],[Successful_Output]]-Table2[[#This Row],[Mortality_Count]]-Table2[[#This Row],[Contamination_Count]]</f>
        <v>930</v>
      </c>
      <c r="J124" s="6">
        <f>F124/E124</f>
        <v>0.84409501505520246</v>
      </c>
      <c r="K124" s="6">
        <f>G124/E124</f>
        <v>4.4831047172967549E-2</v>
      </c>
      <c r="L124" s="6">
        <f>H124/E124</f>
        <v>7.3603211776513888E-3</v>
      </c>
      <c r="M124" t="str">
        <f>IF(G124/E124&gt;0.06,"High Risk","Normal")</f>
        <v>Normal</v>
      </c>
    </row>
    <row r="125" spans="1:13" x14ac:dyDescent="0.3">
      <c r="A125" t="s">
        <v>31</v>
      </c>
      <c r="B125" t="s">
        <v>41</v>
      </c>
      <c r="C125" s="4">
        <v>45781</v>
      </c>
      <c r="D125" t="s">
        <v>18</v>
      </c>
      <c r="E125">
        <v>10620</v>
      </c>
      <c r="F125">
        <v>8172</v>
      </c>
      <c r="G125">
        <v>778</v>
      </c>
      <c r="H125">
        <v>261</v>
      </c>
      <c r="I125">
        <f>Table2[[#This Row],[Total_Units]]-Table2[[#This Row],[Successful_Output]]-Table2[[#This Row],[Mortality_Count]]-Table2[[#This Row],[Contamination_Count]]</f>
        <v>1409</v>
      </c>
      <c r="J125" s="6">
        <f>F125/E125</f>
        <v>0.76949152542372878</v>
      </c>
      <c r="K125" s="6">
        <f>G125/E125</f>
        <v>7.3258003766478341E-2</v>
      </c>
      <c r="L125" s="6">
        <f>H125/E125</f>
        <v>2.4576271186440679E-2</v>
      </c>
      <c r="M125" t="str">
        <f>IF(G125/E125&gt;0.06,"High Risk","Normal")</f>
        <v>High Risk</v>
      </c>
    </row>
    <row r="126" spans="1:13" x14ac:dyDescent="0.3">
      <c r="A126" t="s">
        <v>31</v>
      </c>
      <c r="B126" t="s">
        <v>42</v>
      </c>
      <c r="C126" s="4">
        <v>45782</v>
      </c>
      <c r="D126" t="s">
        <v>18</v>
      </c>
      <c r="E126">
        <v>8675</v>
      </c>
      <c r="F126">
        <v>7508</v>
      </c>
      <c r="G126">
        <v>339</v>
      </c>
      <c r="H126">
        <v>213</v>
      </c>
      <c r="I126">
        <f>Table2[[#This Row],[Total_Units]]-Table2[[#This Row],[Successful_Output]]-Table2[[#This Row],[Mortality_Count]]-Table2[[#This Row],[Contamination_Count]]</f>
        <v>615</v>
      </c>
      <c r="J126" s="6">
        <f>F126/E126</f>
        <v>0.86547550432276654</v>
      </c>
      <c r="K126" s="6">
        <f>G126/E126</f>
        <v>3.9077809798270892E-2</v>
      </c>
      <c r="L126" s="6">
        <f>H126/E126</f>
        <v>2.4553314121037464E-2</v>
      </c>
      <c r="M126" t="str">
        <f>IF(G126/E126&gt;0.06,"High Risk","Normal")</f>
        <v>Normal</v>
      </c>
    </row>
    <row r="127" spans="1:13" x14ac:dyDescent="0.3">
      <c r="A127" t="s">
        <v>31</v>
      </c>
      <c r="B127" t="s">
        <v>50</v>
      </c>
      <c r="C127" s="4">
        <v>45783</v>
      </c>
      <c r="D127" t="s">
        <v>18</v>
      </c>
      <c r="E127">
        <v>11371</v>
      </c>
      <c r="F127">
        <v>9661</v>
      </c>
      <c r="G127">
        <v>389</v>
      </c>
      <c r="H127">
        <v>184</v>
      </c>
      <c r="I127">
        <f>Table2[[#This Row],[Total_Units]]-Table2[[#This Row],[Successful_Output]]-Table2[[#This Row],[Mortality_Count]]-Table2[[#This Row],[Contamination_Count]]</f>
        <v>1137</v>
      </c>
      <c r="J127" s="6">
        <f>F127/E127</f>
        <v>0.84961744789376481</v>
      </c>
      <c r="K127" s="6">
        <f>G127/E127</f>
        <v>3.4209832028845311E-2</v>
      </c>
      <c r="L127" s="6">
        <f>H127/E127</f>
        <v>1.6181514378682614E-2</v>
      </c>
      <c r="M127" t="str">
        <f>IF(G127/E127&gt;0.06,"High Risk","Normal")</f>
        <v>Normal</v>
      </c>
    </row>
    <row r="128" spans="1:13" x14ac:dyDescent="0.3">
      <c r="A128" t="s">
        <v>31</v>
      </c>
      <c r="B128" t="s">
        <v>43</v>
      </c>
      <c r="C128" s="4">
        <v>45784</v>
      </c>
      <c r="D128" t="s">
        <v>18</v>
      </c>
      <c r="E128">
        <v>10574</v>
      </c>
      <c r="F128">
        <v>8333</v>
      </c>
      <c r="G128">
        <v>297</v>
      </c>
      <c r="H128">
        <v>225</v>
      </c>
      <c r="I128">
        <f>Table2[[#This Row],[Total_Units]]-Table2[[#This Row],[Successful_Output]]-Table2[[#This Row],[Mortality_Count]]-Table2[[#This Row],[Contamination_Count]]</f>
        <v>1719</v>
      </c>
      <c r="J128" s="6">
        <f>F128/E128</f>
        <v>0.78806506525439757</v>
      </c>
      <c r="K128" s="6">
        <f>G128/E128</f>
        <v>2.8087762436164176E-2</v>
      </c>
      <c r="L128" s="6">
        <f>H128/E128</f>
        <v>2.1278607906184983E-2</v>
      </c>
      <c r="M128" t="str">
        <f>IF(G128/E128&gt;0.06,"High Risk","Normal")</f>
        <v>Normal</v>
      </c>
    </row>
    <row r="129" spans="1:13" x14ac:dyDescent="0.3">
      <c r="A129" t="s">
        <v>31</v>
      </c>
      <c r="B129" t="s">
        <v>44</v>
      </c>
      <c r="C129" s="4">
        <v>45785</v>
      </c>
      <c r="D129" t="s">
        <v>18</v>
      </c>
      <c r="E129">
        <v>10318</v>
      </c>
      <c r="F129">
        <v>7848</v>
      </c>
      <c r="G129">
        <v>570</v>
      </c>
      <c r="H129">
        <v>253</v>
      </c>
      <c r="I129">
        <f>Table2[[#This Row],[Total_Units]]-Table2[[#This Row],[Successful_Output]]-Table2[[#This Row],[Mortality_Count]]-Table2[[#This Row],[Contamination_Count]]</f>
        <v>1647</v>
      </c>
      <c r="J129" s="6">
        <f>F129/E129</f>
        <v>0.7606125218065517</v>
      </c>
      <c r="K129" s="6">
        <f>G129/E129</f>
        <v>5.524326419848808E-2</v>
      </c>
      <c r="L129" s="6">
        <f>H129/E129</f>
        <v>2.4520255863539446E-2</v>
      </c>
      <c r="M129" t="str">
        <f>IF(G129/E129&gt;0.06,"High Risk","Normal")</f>
        <v>Normal</v>
      </c>
    </row>
    <row r="130" spans="1:13" x14ac:dyDescent="0.3">
      <c r="A130" t="s">
        <v>31</v>
      </c>
      <c r="B130" t="s">
        <v>51</v>
      </c>
      <c r="C130" s="4">
        <v>45786</v>
      </c>
      <c r="D130" t="s">
        <v>18</v>
      </c>
      <c r="E130">
        <v>10401</v>
      </c>
      <c r="F130">
        <v>8071</v>
      </c>
      <c r="G130">
        <v>744</v>
      </c>
      <c r="H130">
        <v>265</v>
      </c>
      <c r="I130">
        <f>Table2[[#This Row],[Total_Units]]-Table2[[#This Row],[Successful_Output]]-Table2[[#This Row],[Mortality_Count]]-Table2[[#This Row],[Contamination_Count]]</f>
        <v>1321</v>
      </c>
      <c r="J130" s="6">
        <f>F130/E130</f>
        <v>0.77598307855013937</v>
      </c>
      <c r="K130" s="6">
        <f>G130/E130</f>
        <v>7.1531583501586379E-2</v>
      </c>
      <c r="L130" s="6">
        <f>H130/E130</f>
        <v>2.5478319392366118E-2</v>
      </c>
      <c r="M130" t="str">
        <f>IF(G130/E130&gt;0.06,"High Risk","Normal")</f>
        <v>High Risk</v>
      </c>
    </row>
    <row r="131" spans="1:13" x14ac:dyDescent="0.3">
      <c r="A131" t="s">
        <v>31</v>
      </c>
      <c r="B131" t="s">
        <v>45</v>
      </c>
      <c r="C131" s="4">
        <v>45787</v>
      </c>
      <c r="D131" t="s">
        <v>18</v>
      </c>
      <c r="E131">
        <v>10203</v>
      </c>
      <c r="F131">
        <v>7988</v>
      </c>
      <c r="G131">
        <v>389</v>
      </c>
      <c r="H131">
        <v>211</v>
      </c>
      <c r="I131">
        <f>Table2[[#This Row],[Total_Units]]-Table2[[#This Row],[Successful_Output]]-Table2[[#This Row],[Mortality_Count]]-Table2[[#This Row],[Contamination_Count]]</f>
        <v>1615</v>
      </c>
      <c r="J131" s="6">
        <f>F131/E131</f>
        <v>0.78290698814074289</v>
      </c>
      <c r="K131" s="6">
        <f>G131/E131</f>
        <v>3.8126041360384201E-2</v>
      </c>
      <c r="L131" s="6">
        <f>H131/E131</f>
        <v>2.0680192100362638E-2</v>
      </c>
      <c r="M131" t="str">
        <f>IF(G131/E131&gt;0.06,"High Risk","Normal")</f>
        <v>Normal</v>
      </c>
    </row>
    <row r="132" spans="1:13" x14ac:dyDescent="0.3">
      <c r="A132" t="s">
        <v>31</v>
      </c>
      <c r="B132" t="s">
        <v>46</v>
      </c>
      <c r="C132" s="4">
        <v>45788</v>
      </c>
      <c r="D132" t="s">
        <v>18</v>
      </c>
      <c r="E132">
        <v>10695</v>
      </c>
      <c r="F132">
        <v>8444</v>
      </c>
      <c r="G132">
        <v>268</v>
      </c>
      <c r="H132">
        <v>145</v>
      </c>
      <c r="I132">
        <f>Table2[[#This Row],[Total_Units]]-Table2[[#This Row],[Successful_Output]]-Table2[[#This Row],[Mortality_Count]]-Table2[[#This Row],[Contamination_Count]]</f>
        <v>1838</v>
      </c>
      <c r="J132" s="6">
        <f>F132/E132</f>
        <v>0.78952781673679284</v>
      </c>
      <c r="K132" s="6">
        <f>G132/E132</f>
        <v>2.5058438522674146E-2</v>
      </c>
      <c r="L132" s="6">
        <f>H132/E132</f>
        <v>1.3557737260402058E-2</v>
      </c>
      <c r="M132" t="str">
        <f>IF(G132/E132&gt;0.06,"High Risk","Normal")</f>
        <v>Normal</v>
      </c>
    </row>
    <row r="133" spans="1:13" x14ac:dyDescent="0.3">
      <c r="A133" t="s">
        <v>31</v>
      </c>
      <c r="B133" t="s">
        <v>52</v>
      </c>
      <c r="C133" s="4">
        <v>45789</v>
      </c>
      <c r="D133" t="s">
        <v>18</v>
      </c>
      <c r="E133">
        <v>8584</v>
      </c>
      <c r="F133">
        <v>7061</v>
      </c>
      <c r="G133">
        <v>317</v>
      </c>
      <c r="H133">
        <v>227</v>
      </c>
      <c r="I133">
        <f>Table2[[#This Row],[Total_Units]]-Table2[[#This Row],[Successful_Output]]-Table2[[#This Row],[Mortality_Count]]-Table2[[#This Row],[Contamination_Count]]</f>
        <v>979</v>
      </c>
      <c r="J133" s="6">
        <f>F133/E133</f>
        <v>0.82257688723205968</v>
      </c>
      <c r="K133" s="6">
        <f>G133/E133</f>
        <v>3.6929170549860203E-2</v>
      </c>
      <c r="L133" s="6">
        <f>H133/E133</f>
        <v>2.6444547996272133E-2</v>
      </c>
      <c r="M133" t="str">
        <f>IF(G133/E133&gt;0.06,"High Risk","Normal")</f>
        <v>Normal</v>
      </c>
    </row>
    <row r="134" spans="1:13" x14ac:dyDescent="0.3">
      <c r="A134" t="s">
        <v>31</v>
      </c>
      <c r="B134" t="s">
        <v>47</v>
      </c>
      <c r="C134" s="4">
        <v>45790</v>
      </c>
      <c r="D134" t="s">
        <v>18</v>
      </c>
      <c r="E134">
        <v>8882</v>
      </c>
      <c r="F134">
        <v>7654</v>
      </c>
      <c r="G134">
        <v>329</v>
      </c>
      <c r="H134">
        <v>53</v>
      </c>
      <c r="I134">
        <f>Table2[[#This Row],[Total_Units]]-Table2[[#This Row],[Successful_Output]]-Table2[[#This Row],[Mortality_Count]]-Table2[[#This Row],[Contamination_Count]]</f>
        <v>846</v>
      </c>
      <c r="J134" s="6">
        <f>F134/E134</f>
        <v>0.86174285070929968</v>
      </c>
      <c r="K134" s="6">
        <f>G134/E134</f>
        <v>3.7041206935374917E-2</v>
      </c>
      <c r="L134" s="6">
        <f>H134/E134</f>
        <v>5.9671245215041661E-3</v>
      </c>
      <c r="M134" t="str">
        <f>IF(G134/E134&gt;0.06,"High Risk","Normal")</f>
        <v>Normal</v>
      </c>
    </row>
    <row r="135" spans="1:13" x14ac:dyDescent="0.3">
      <c r="A135" t="s">
        <v>31</v>
      </c>
      <c r="B135" t="s">
        <v>48</v>
      </c>
      <c r="C135" s="4">
        <v>45791</v>
      </c>
      <c r="D135" t="s">
        <v>18</v>
      </c>
      <c r="E135">
        <v>9997</v>
      </c>
      <c r="F135">
        <v>7929</v>
      </c>
      <c r="G135">
        <v>696</v>
      </c>
      <c r="H135">
        <v>186</v>
      </c>
      <c r="I135">
        <f>Table2[[#This Row],[Total_Units]]-Table2[[#This Row],[Successful_Output]]-Table2[[#This Row],[Mortality_Count]]-Table2[[#This Row],[Contamination_Count]]</f>
        <v>1186</v>
      </c>
      <c r="J135" s="6">
        <f>F135/E135</f>
        <v>0.79313794138241478</v>
      </c>
      <c r="K135" s="6">
        <f>G135/E135</f>
        <v>6.9620886265879769E-2</v>
      </c>
      <c r="L135" s="6">
        <f>H135/E135</f>
        <v>1.8605581674502349E-2</v>
      </c>
      <c r="M135" t="str">
        <f>IF(G135/E135&gt;0.06,"High Risk","Normal")</f>
        <v>High Risk</v>
      </c>
    </row>
    <row r="136" spans="1:13" x14ac:dyDescent="0.3">
      <c r="A136" t="s">
        <v>31</v>
      </c>
      <c r="B136" t="s">
        <v>54</v>
      </c>
      <c r="C136" s="4">
        <v>45792</v>
      </c>
      <c r="D136" t="s">
        <v>18</v>
      </c>
      <c r="E136">
        <v>9026</v>
      </c>
      <c r="F136">
        <v>6885</v>
      </c>
      <c r="G136">
        <v>352</v>
      </c>
      <c r="H136">
        <v>163</v>
      </c>
      <c r="I136">
        <f>Table2[[#This Row],[Total_Units]]-Table2[[#This Row],[Successful_Output]]-Table2[[#This Row],[Mortality_Count]]-Table2[[#This Row],[Contamination_Count]]</f>
        <v>1626</v>
      </c>
      <c r="J136" s="6">
        <f>F136/E136</f>
        <v>0.76279636605362289</v>
      </c>
      <c r="K136" s="6">
        <f>G136/E136</f>
        <v>3.8998448925326834E-2</v>
      </c>
      <c r="L136" s="6">
        <f>H136/E136</f>
        <v>1.8058940837580324E-2</v>
      </c>
      <c r="M136" t="str">
        <f>IF(G136/E136&gt;0.06,"High Risk","Normal")</f>
        <v>Normal</v>
      </c>
    </row>
    <row r="137" spans="1:13" x14ac:dyDescent="0.3">
      <c r="A137" t="s">
        <v>31</v>
      </c>
      <c r="B137" t="s">
        <v>58</v>
      </c>
      <c r="C137" s="4">
        <v>45793</v>
      </c>
      <c r="D137" t="s">
        <v>18</v>
      </c>
      <c r="E137">
        <v>9951</v>
      </c>
      <c r="F137">
        <v>8361</v>
      </c>
      <c r="G137">
        <v>599</v>
      </c>
      <c r="H137">
        <v>105</v>
      </c>
      <c r="I137">
        <f>Table2[[#This Row],[Total_Units]]-Table2[[#This Row],[Successful_Output]]-Table2[[#This Row],[Mortality_Count]]-Table2[[#This Row],[Contamination_Count]]</f>
        <v>886</v>
      </c>
      <c r="J137" s="6">
        <f>F137/E137</f>
        <v>0.84021706361169735</v>
      </c>
      <c r="K137" s="6">
        <f>G137/E137</f>
        <v>6.0194955280876296E-2</v>
      </c>
      <c r="L137" s="6">
        <f>H137/E137</f>
        <v>1.0551703346397347E-2</v>
      </c>
      <c r="M137" t="str">
        <f>IF(G137/E137&gt;0.06,"High Risk","Normal")</f>
        <v>High Risk</v>
      </c>
    </row>
    <row r="138" spans="1:13" x14ac:dyDescent="0.3">
      <c r="A138" t="s">
        <v>31</v>
      </c>
      <c r="B138" t="s">
        <v>59</v>
      </c>
      <c r="C138" s="4">
        <v>45794</v>
      </c>
      <c r="D138" t="s">
        <v>18</v>
      </c>
      <c r="E138">
        <v>11528</v>
      </c>
      <c r="F138">
        <v>10240</v>
      </c>
      <c r="G138">
        <v>298</v>
      </c>
      <c r="H138">
        <v>90</v>
      </c>
      <c r="I138">
        <f>Table2[[#This Row],[Total_Units]]-Table2[[#This Row],[Successful_Output]]-Table2[[#This Row],[Mortality_Count]]-Table2[[#This Row],[Contamination_Count]]</f>
        <v>900</v>
      </c>
      <c r="J138" s="6">
        <f>F138/E138</f>
        <v>0.88827203331020121</v>
      </c>
      <c r="K138" s="6">
        <f>G138/E138</f>
        <v>2.5850104094378903E-2</v>
      </c>
      <c r="L138" s="6">
        <f>H138/E138</f>
        <v>7.8070784177654406E-3</v>
      </c>
      <c r="M138" t="str">
        <f>IF(G138/E138&gt;0.06,"High Risk","Normal")</f>
        <v>Normal</v>
      </c>
    </row>
    <row r="139" spans="1:13" x14ac:dyDescent="0.3">
      <c r="A139" t="s">
        <v>31</v>
      </c>
      <c r="B139" t="s">
        <v>56</v>
      </c>
      <c r="C139" s="4">
        <v>45795</v>
      </c>
      <c r="D139" t="s">
        <v>18</v>
      </c>
      <c r="E139">
        <v>11707</v>
      </c>
      <c r="F139">
        <v>8833</v>
      </c>
      <c r="G139">
        <v>532</v>
      </c>
      <c r="H139">
        <v>327</v>
      </c>
      <c r="I139">
        <f>Table2[[#This Row],[Total_Units]]-Table2[[#This Row],[Successful_Output]]-Table2[[#This Row],[Mortality_Count]]-Table2[[#This Row],[Contamination_Count]]</f>
        <v>2015</v>
      </c>
      <c r="J139" s="6">
        <f>F139/E139</f>
        <v>0.75450585120013669</v>
      </c>
      <c r="K139" s="6">
        <f>G139/E139</f>
        <v>4.5442897411804906E-2</v>
      </c>
      <c r="L139" s="6">
        <f>H139/E139</f>
        <v>2.7932006491842486E-2</v>
      </c>
      <c r="M139" t="str">
        <f>IF(G139/E139&gt;0.06,"High Risk","Normal")</f>
        <v>Normal</v>
      </c>
    </row>
    <row r="140" spans="1:13" x14ac:dyDescent="0.3">
      <c r="A140" t="s">
        <v>31</v>
      </c>
      <c r="B140" t="s">
        <v>60</v>
      </c>
      <c r="C140" s="4">
        <v>45796</v>
      </c>
      <c r="D140" t="s">
        <v>18</v>
      </c>
      <c r="E140">
        <v>8701</v>
      </c>
      <c r="F140">
        <v>7352</v>
      </c>
      <c r="G140">
        <v>274</v>
      </c>
      <c r="H140">
        <v>118</v>
      </c>
      <c r="I140">
        <f>Table2[[#This Row],[Total_Units]]-Table2[[#This Row],[Successful_Output]]-Table2[[#This Row],[Mortality_Count]]-Table2[[#This Row],[Contamination_Count]]</f>
        <v>957</v>
      </c>
      <c r="J140" s="6">
        <f>F140/E140</f>
        <v>0.8449603493851281</v>
      </c>
      <c r="K140" s="6">
        <f>G140/E140</f>
        <v>3.1490633260544763E-2</v>
      </c>
      <c r="L140" s="6">
        <f>H140/E140</f>
        <v>1.3561659579358695E-2</v>
      </c>
      <c r="M140" t="str">
        <f>IF(G140/E140&gt;0.06,"High Risk","Normal")</f>
        <v>Normal</v>
      </c>
    </row>
    <row r="141" spans="1:13" x14ac:dyDescent="0.3">
      <c r="A141" t="s">
        <v>31</v>
      </c>
      <c r="B141" t="s">
        <v>61</v>
      </c>
      <c r="C141" s="4">
        <v>45797</v>
      </c>
      <c r="D141" t="s">
        <v>18</v>
      </c>
      <c r="E141">
        <v>11958</v>
      </c>
      <c r="F141">
        <v>10590</v>
      </c>
      <c r="G141">
        <v>732</v>
      </c>
      <c r="H141">
        <v>339</v>
      </c>
      <c r="I141">
        <f>Table2[[#This Row],[Total_Units]]-Table2[[#This Row],[Successful_Output]]-Table2[[#This Row],[Mortality_Count]]-Table2[[#This Row],[Contamination_Count]]</f>
        <v>297</v>
      </c>
      <c r="J141" s="6">
        <f>F141/E141</f>
        <v>0.88559959859508275</v>
      </c>
      <c r="K141" s="6">
        <f>G141/E141</f>
        <v>6.1214249874560964E-2</v>
      </c>
      <c r="L141" s="6">
        <f>H141/E141</f>
        <v>2.8349222277972905E-2</v>
      </c>
      <c r="M141" t="str">
        <f>IF(G141/E141&gt;0.06,"High Risk","Normal")</f>
        <v>High Risk</v>
      </c>
    </row>
    <row r="142" spans="1:13" x14ac:dyDescent="0.3">
      <c r="A142" t="s">
        <v>31</v>
      </c>
      <c r="B142" t="s">
        <v>57</v>
      </c>
      <c r="C142" s="4">
        <v>45798</v>
      </c>
      <c r="D142" t="s">
        <v>18</v>
      </c>
      <c r="E142">
        <v>10917</v>
      </c>
      <c r="F142">
        <v>9493</v>
      </c>
      <c r="G142">
        <v>519</v>
      </c>
      <c r="H142">
        <v>232</v>
      </c>
      <c r="I142">
        <f>Table2[[#This Row],[Total_Units]]-Table2[[#This Row],[Successful_Output]]-Table2[[#This Row],[Mortality_Count]]-Table2[[#This Row],[Contamination_Count]]</f>
        <v>673</v>
      </c>
      <c r="J142" s="6">
        <f>F142/E142</f>
        <v>0.86956123477145741</v>
      </c>
      <c r="K142" s="6">
        <f>G142/E142</f>
        <v>4.7540533113492718E-2</v>
      </c>
      <c r="L142" s="6">
        <f>H142/E142</f>
        <v>2.1251259503526611E-2</v>
      </c>
      <c r="M142" t="str">
        <f>IF(G142/E142&gt;0.06,"High Risk","Normal")</f>
        <v>Normal</v>
      </c>
    </row>
    <row r="143" spans="1:13" x14ac:dyDescent="0.3">
      <c r="A143" t="s">
        <v>31</v>
      </c>
      <c r="B143" t="s">
        <v>62</v>
      </c>
      <c r="C143" s="4">
        <v>45799</v>
      </c>
      <c r="D143" t="s">
        <v>18</v>
      </c>
      <c r="E143">
        <v>8868</v>
      </c>
      <c r="F143">
        <v>7865</v>
      </c>
      <c r="G143">
        <v>541</v>
      </c>
      <c r="H143">
        <v>228</v>
      </c>
      <c r="I143">
        <f>Table2[[#This Row],[Total_Units]]-Table2[[#This Row],[Successful_Output]]-Table2[[#This Row],[Mortality_Count]]-Table2[[#This Row],[Contamination_Count]]</f>
        <v>234</v>
      </c>
      <c r="J143" s="6">
        <f>F143/E143</f>
        <v>0.88689670726206582</v>
      </c>
      <c r="K143" s="6">
        <f>G143/E143</f>
        <v>6.1005863779882721E-2</v>
      </c>
      <c r="L143" s="6">
        <f>H143/E143</f>
        <v>2.571041948579161E-2</v>
      </c>
      <c r="M143" t="str">
        <f>IF(G143/E143&gt;0.06,"High Risk","Normal")</f>
        <v>High Risk</v>
      </c>
    </row>
    <row r="144" spans="1:13" x14ac:dyDescent="0.3">
      <c r="A144" t="s">
        <v>31</v>
      </c>
      <c r="B144" t="s">
        <v>63</v>
      </c>
      <c r="C144" s="4">
        <v>45800</v>
      </c>
      <c r="D144" t="s">
        <v>18</v>
      </c>
      <c r="E144">
        <v>11666</v>
      </c>
      <c r="F144">
        <v>9340</v>
      </c>
      <c r="G144">
        <v>415</v>
      </c>
      <c r="H144">
        <v>102</v>
      </c>
      <c r="I144">
        <f>Table2[[#This Row],[Total_Units]]-Table2[[#This Row],[Successful_Output]]-Table2[[#This Row],[Mortality_Count]]-Table2[[#This Row],[Contamination_Count]]</f>
        <v>1809</v>
      </c>
      <c r="J144" s="6">
        <f>F144/E144</f>
        <v>0.8006171781244642</v>
      </c>
      <c r="K144" s="6">
        <f>G144/E144</f>
        <v>3.5573461340648038E-2</v>
      </c>
      <c r="L144" s="6">
        <f>H144/E144</f>
        <v>8.7433567632436131E-3</v>
      </c>
      <c r="M144" t="str">
        <f>IF(G144/E144&gt;0.06,"High Risk","Normal")</f>
        <v>Normal</v>
      </c>
    </row>
    <row r="145" spans="1:13" x14ac:dyDescent="0.3">
      <c r="A145" t="s">
        <v>31</v>
      </c>
      <c r="B145" t="s">
        <v>55</v>
      </c>
      <c r="C145" s="4">
        <v>45801</v>
      </c>
      <c r="D145" t="s">
        <v>18</v>
      </c>
      <c r="E145">
        <v>10958</v>
      </c>
      <c r="F145">
        <v>9585</v>
      </c>
      <c r="G145">
        <v>807</v>
      </c>
      <c r="H145">
        <v>303</v>
      </c>
      <c r="I145">
        <f>Table2[[#This Row],[Total_Units]]-Table2[[#This Row],[Successful_Output]]-Table2[[#This Row],[Mortality_Count]]-Table2[[#This Row],[Contamination_Count]]</f>
        <v>263</v>
      </c>
      <c r="J145" s="6">
        <f>F145/E145</f>
        <v>0.87470341303157506</v>
      </c>
      <c r="K145" s="6">
        <f>G145/E145</f>
        <v>7.36448256981201E-2</v>
      </c>
      <c r="L145" s="6">
        <f>H145/E145</f>
        <v>2.7651031210074832E-2</v>
      </c>
      <c r="M145" t="str">
        <f>IF(G145/E145&gt;0.06,"High Risk","Normal")</f>
        <v>High Risk</v>
      </c>
    </row>
    <row r="146" spans="1:13" x14ac:dyDescent="0.3">
      <c r="A146" t="s">
        <v>31</v>
      </c>
      <c r="B146" t="s">
        <v>64</v>
      </c>
      <c r="C146" s="4">
        <v>45802</v>
      </c>
      <c r="D146" t="s">
        <v>18</v>
      </c>
      <c r="E146">
        <v>9882</v>
      </c>
      <c r="F146">
        <v>8818</v>
      </c>
      <c r="G146">
        <v>351</v>
      </c>
      <c r="H146">
        <v>265</v>
      </c>
      <c r="I146">
        <f>Table2[[#This Row],[Total_Units]]-Table2[[#This Row],[Successful_Output]]-Table2[[#This Row],[Mortality_Count]]-Table2[[#This Row],[Contamination_Count]]</f>
        <v>448</v>
      </c>
      <c r="J146" s="6">
        <f>F146/E146</f>
        <v>0.89232948795790323</v>
      </c>
      <c r="K146" s="6">
        <f>G146/E146</f>
        <v>3.5519125683060107E-2</v>
      </c>
      <c r="L146" s="6">
        <f>H146/E146</f>
        <v>2.6816433920259057E-2</v>
      </c>
      <c r="M146" t="str">
        <f>IF(G146/E146&gt;0.06,"High Risk","Normal")</f>
        <v>Normal</v>
      </c>
    </row>
    <row r="147" spans="1:13" x14ac:dyDescent="0.3">
      <c r="A147" t="s">
        <v>31</v>
      </c>
      <c r="B147" t="s">
        <v>65</v>
      </c>
      <c r="C147" s="4">
        <v>45803</v>
      </c>
      <c r="D147" t="s">
        <v>18</v>
      </c>
      <c r="E147">
        <v>8165</v>
      </c>
      <c r="F147">
        <v>7426</v>
      </c>
      <c r="G147">
        <v>571</v>
      </c>
      <c r="H147">
        <v>68</v>
      </c>
      <c r="I147">
        <f>Table2[[#This Row],[Total_Units]]-Table2[[#This Row],[Successful_Output]]-Table2[[#This Row],[Mortality_Count]]-Table2[[#This Row],[Contamination_Count]]</f>
        <v>100</v>
      </c>
      <c r="J147" s="6">
        <f>F147/E147</f>
        <v>0.90949173300673603</v>
      </c>
      <c r="K147" s="6">
        <f>G147/E147</f>
        <v>6.9932639314145742E-2</v>
      </c>
      <c r="L147" s="6">
        <f>H147/E147</f>
        <v>8.3282302510716468E-3</v>
      </c>
      <c r="M147" t="str">
        <f>IF(G147/E147&gt;0.06,"High Risk","Normal")</f>
        <v>High Risk</v>
      </c>
    </row>
    <row r="148" spans="1:13" x14ac:dyDescent="0.3">
      <c r="A148" t="s">
        <v>31</v>
      </c>
      <c r="B148" t="s">
        <v>53</v>
      </c>
      <c r="C148" s="4">
        <v>45804</v>
      </c>
      <c r="D148" t="s">
        <v>18</v>
      </c>
      <c r="E148">
        <v>10020</v>
      </c>
      <c r="F148">
        <v>7731</v>
      </c>
      <c r="G148">
        <v>387</v>
      </c>
      <c r="H148">
        <v>228</v>
      </c>
      <c r="I148">
        <f>Table2[[#This Row],[Total_Units]]-Table2[[#This Row],[Successful_Output]]-Table2[[#This Row],[Mortality_Count]]-Table2[[#This Row],[Contamination_Count]]</f>
        <v>1674</v>
      </c>
      <c r="J148" s="6">
        <f>F148/E148</f>
        <v>0.77155688622754492</v>
      </c>
      <c r="K148" s="6">
        <f>G148/E148</f>
        <v>3.8622754491017965E-2</v>
      </c>
      <c r="L148" s="6">
        <f>H148/E148</f>
        <v>2.2754491017964073E-2</v>
      </c>
      <c r="M148" t="str">
        <f>IF(G148/E148&gt;0.06,"High Risk","Normal")</f>
        <v>Normal</v>
      </c>
    </row>
    <row r="149" spans="1:13" x14ac:dyDescent="0.3">
      <c r="A149" t="s">
        <v>31</v>
      </c>
      <c r="B149" t="s">
        <v>66</v>
      </c>
      <c r="C149" s="4">
        <v>45805</v>
      </c>
      <c r="D149" t="s">
        <v>18</v>
      </c>
      <c r="E149">
        <v>10078</v>
      </c>
      <c r="F149">
        <v>9019</v>
      </c>
      <c r="G149">
        <v>383</v>
      </c>
      <c r="H149">
        <v>132</v>
      </c>
      <c r="I149">
        <f>Table2[[#This Row],[Total_Units]]-Table2[[#This Row],[Successful_Output]]-Table2[[#This Row],[Mortality_Count]]-Table2[[#This Row],[Contamination_Count]]</f>
        <v>544</v>
      </c>
      <c r="J149" s="6">
        <f>F149/E149</f>
        <v>0.89491962691010118</v>
      </c>
      <c r="K149" s="6">
        <f>G149/E149</f>
        <v>3.8003572137328835E-2</v>
      </c>
      <c r="L149" s="6">
        <f>H149/E149</f>
        <v>1.3097836872395317E-2</v>
      </c>
      <c r="M149" t="str">
        <f>IF(G149/E149&gt;0.06,"High Risk","Normal")</f>
        <v>Normal</v>
      </c>
    </row>
    <row r="150" spans="1:13" x14ac:dyDescent="0.3">
      <c r="A150" t="s">
        <v>31</v>
      </c>
      <c r="B150" t="s">
        <v>67</v>
      </c>
      <c r="C150" s="4">
        <v>45806</v>
      </c>
      <c r="D150" t="s">
        <v>18</v>
      </c>
      <c r="E150">
        <v>10146</v>
      </c>
      <c r="F150">
        <v>8515</v>
      </c>
      <c r="G150">
        <v>632</v>
      </c>
      <c r="H150">
        <v>256</v>
      </c>
      <c r="I150">
        <f>Table2[[#This Row],[Total_Units]]-Table2[[#This Row],[Successful_Output]]-Table2[[#This Row],[Mortality_Count]]-Table2[[#This Row],[Contamination_Count]]</f>
        <v>743</v>
      </c>
      <c r="J150" s="6">
        <f>F150/E150</f>
        <v>0.83924699388921742</v>
      </c>
      <c r="K150" s="6">
        <f>G150/E150</f>
        <v>6.2290557855312435E-2</v>
      </c>
      <c r="L150" s="6">
        <f>H150/E150</f>
        <v>2.5231618371772128E-2</v>
      </c>
      <c r="M150" t="str">
        <f>IF(G150/E150&gt;0.06,"High Risk","Normal")</f>
        <v>High Risk</v>
      </c>
    </row>
    <row r="151" spans="1:13" x14ac:dyDescent="0.3">
      <c r="A151" t="s">
        <v>31</v>
      </c>
      <c r="B151" t="s">
        <v>68</v>
      </c>
      <c r="C151" s="4">
        <v>45807</v>
      </c>
      <c r="D151" t="s">
        <v>18</v>
      </c>
      <c r="E151">
        <v>9990</v>
      </c>
      <c r="F151">
        <v>8775</v>
      </c>
      <c r="G151">
        <v>702</v>
      </c>
      <c r="H151">
        <v>197</v>
      </c>
      <c r="I151">
        <f>Table2[[#This Row],[Total_Units]]-Table2[[#This Row],[Successful_Output]]-Table2[[#This Row],[Mortality_Count]]-Table2[[#This Row],[Contamination_Count]]</f>
        <v>316</v>
      </c>
      <c r="J151" s="6">
        <f>F151/E151</f>
        <v>0.8783783783783784</v>
      </c>
      <c r="K151" s="6">
        <f>G151/E151</f>
        <v>7.0270270270270274E-2</v>
      </c>
      <c r="L151" s="6">
        <f>H151/E151</f>
        <v>1.9719719719719718E-2</v>
      </c>
      <c r="M151" t="str">
        <f>IF(G151/E151&gt;0.06,"High Risk","Normal")</f>
        <v>High Risk</v>
      </c>
    </row>
    <row r="152" spans="1:13" x14ac:dyDescent="0.3">
      <c r="A152" t="s">
        <v>31</v>
      </c>
      <c r="B152" t="s">
        <v>69</v>
      </c>
      <c r="C152" s="4">
        <v>45808</v>
      </c>
      <c r="D152" t="s">
        <v>18</v>
      </c>
      <c r="E152">
        <v>8499</v>
      </c>
      <c r="F152">
        <v>7751</v>
      </c>
      <c r="G152">
        <v>171</v>
      </c>
      <c r="H152">
        <v>74</v>
      </c>
      <c r="I152">
        <f>Table2[[#This Row],[Total_Units]]-Table2[[#This Row],[Successful_Output]]-Table2[[#This Row],[Mortality_Count]]-Table2[[#This Row],[Contamination_Count]]</f>
        <v>503</v>
      </c>
      <c r="J152" s="6">
        <f>F152/E152</f>
        <v>0.91198964584068709</v>
      </c>
      <c r="K152" s="6">
        <f>G152/E152</f>
        <v>2.0120014119308152E-2</v>
      </c>
      <c r="L152" s="6">
        <f>H152/E152</f>
        <v>8.706906694905283E-3</v>
      </c>
      <c r="M152" t="str">
        <f>IF(G152/E152&gt;0.06,"High Risk","Normal")</f>
        <v>Normal</v>
      </c>
    </row>
    <row r="153" spans="1:13" x14ac:dyDescent="0.3">
      <c r="A153" t="s">
        <v>32</v>
      </c>
      <c r="B153" t="s">
        <v>39</v>
      </c>
      <c r="C153" s="4">
        <v>45809</v>
      </c>
      <c r="D153" t="s">
        <v>19</v>
      </c>
      <c r="E153">
        <v>10066</v>
      </c>
      <c r="F153">
        <v>9135</v>
      </c>
      <c r="G153">
        <v>577</v>
      </c>
      <c r="H153">
        <v>117</v>
      </c>
      <c r="I153">
        <f>Table2[[#This Row],[Total_Units]]-Table2[[#This Row],[Successful_Output]]-Table2[[#This Row],[Mortality_Count]]-Table2[[#This Row],[Contamination_Count]]</f>
        <v>237</v>
      </c>
      <c r="J153" s="6">
        <f>F153/E153</f>
        <v>0.90751043115438113</v>
      </c>
      <c r="K153" s="6">
        <f>G153/E153</f>
        <v>5.732167693224717E-2</v>
      </c>
      <c r="L153" s="6">
        <f>H153/E153</f>
        <v>1.1623286310351678E-2</v>
      </c>
      <c r="M153" t="str">
        <f>IF(G153/E153&gt;0.06,"High Risk","Normal")</f>
        <v>Normal</v>
      </c>
    </row>
    <row r="154" spans="1:13" x14ac:dyDescent="0.3">
      <c r="A154" t="s">
        <v>32</v>
      </c>
      <c r="B154" t="s">
        <v>40</v>
      </c>
      <c r="C154" s="4">
        <v>45810</v>
      </c>
      <c r="D154" t="s">
        <v>19</v>
      </c>
      <c r="E154">
        <v>10427</v>
      </c>
      <c r="F154">
        <v>9216</v>
      </c>
      <c r="G154">
        <v>307</v>
      </c>
      <c r="H154">
        <v>255</v>
      </c>
      <c r="I154">
        <f>Table2[[#This Row],[Total_Units]]-Table2[[#This Row],[Successful_Output]]-Table2[[#This Row],[Mortality_Count]]-Table2[[#This Row],[Contamination_Count]]</f>
        <v>649</v>
      </c>
      <c r="J154" s="6">
        <f>F154/E154</f>
        <v>0.8838592116620313</v>
      </c>
      <c r="K154" s="6">
        <f>G154/E154</f>
        <v>2.9442792749592404E-2</v>
      </c>
      <c r="L154" s="6">
        <f>H154/E154</f>
        <v>2.4455739906013234E-2</v>
      </c>
      <c r="M154" t="str">
        <f>IF(G154/E154&gt;0.06,"High Risk","Normal")</f>
        <v>Normal</v>
      </c>
    </row>
    <row r="155" spans="1:13" x14ac:dyDescent="0.3">
      <c r="A155" t="s">
        <v>32</v>
      </c>
      <c r="B155" t="s">
        <v>49</v>
      </c>
      <c r="C155" s="4">
        <v>45811</v>
      </c>
      <c r="D155" t="s">
        <v>19</v>
      </c>
      <c r="E155">
        <v>10081</v>
      </c>
      <c r="F155">
        <v>8153</v>
      </c>
      <c r="G155">
        <v>267</v>
      </c>
      <c r="H155">
        <v>177</v>
      </c>
      <c r="I155">
        <f>Table2[[#This Row],[Total_Units]]-Table2[[#This Row],[Successful_Output]]-Table2[[#This Row],[Mortality_Count]]-Table2[[#This Row],[Contamination_Count]]</f>
        <v>1484</v>
      </c>
      <c r="J155" s="6">
        <f>F155/E155</f>
        <v>0.80874913203055254</v>
      </c>
      <c r="K155" s="6">
        <f>G155/E155</f>
        <v>2.6485467711536554E-2</v>
      </c>
      <c r="L155" s="6">
        <f>H155/E155</f>
        <v>1.7557781966074795E-2</v>
      </c>
      <c r="M155" t="str">
        <f>IF(G155/E155&gt;0.06,"High Risk","Normal")</f>
        <v>Normal</v>
      </c>
    </row>
    <row r="156" spans="1:13" x14ac:dyDescent="0.3">
      <c r="A156" t="s">
        <v>32</v>
      </c>
      <c r="B156" t="s">
        <v>41</v>
      </c>
      <c r="C156" s="4">
        <v>45812</v>
      </c>
      <c r="D156" t="s">
        <v>19</v>
      </c>
      <c r="E156">
        <v>9624</v>
      </c>
      <c r="F156">
        <v>8747</v>
      </c>
      <c r="G156">
        <v>495</v>
      </c>
      <c r="H156">
        <v>175</v>
      </c>
      <c r="I156">
        <f>Table2[[#This Row],[Total_Units]]-Table2[[#This Row],[Successful_Output]]-Table2[[#This Row],[Mortality_Count]]-Table2[[#This Row],[Contamination_Count]]</f>
        <v>207</v>
      </c>
      <c r="J156" s="6">
        <f>F156/E156</f>
        <v>0.90887364921030755</v>
      </c>
      <c r="K156" s="6">
        <f>G156/E156</f>
        <v>5.1433915211970077E-2</v>
      </c>
      <c r="L156" s="6">
        <f>H156/E156</f>
        <v>1.8183707398171239E-2</v>
      </c>
      <c r="M156" t="str">
        <f>IF(G156/E156&gt;0.06,"High Risk","Normal")</f>
        <v>Normal</v>
      </c>
    </row>
    <row r="157" spans="1:13" x14ac:dyDescent="0.3">
      <c r="A157" t="s">
        <v>32</v>
      </c>
      <c r="B157" t="s">
        <v>42</v>
      </c>
      <c r="C157" s="4">
        <v>45813</v>
      </c>
      <c r="D157" t="s">
        <v>19</v>
      </c>
      <c r="E157">
        <v>10361</v>
      </c>
      <c r="F157">
        <v>8066</v>
      </c>
      <c r="G157">
        <v>767</v>
      </c>
      <c r="H157">
        <v>99</v>
      </c>
      <c r="I157">
        <f>Table2[[#This Row],[Total_Units]]-Table2[[#This Row],[Successful_Output]]-Table2[[#This Row],[Mortality_Count]]-Table2[[#This Row],[Contamination_Count]]</f>
        <v>1429</v>
      </c>
      <c r="J157" s="6">
        <f>F157/E157</f>
        <v>0.77849628414245731</v>
      </c>
      <c r="K157" s="6">
        <f>G157/E157</f>
        <v>7.4027603513174403E-2</v>
      </c>
      <c r="L157" s="6">
        <f>H157/E157</f>
        <v>9.5550622526783136E-3</v>
      </c>
      <c r="M157" t="str">
        <f>IF(G157/E157&gt;0.06,"High Risk","Normal")</f>
        <v>High Risk</v>
      </c>
    </row>
    <row r="158" spans="1:13" x14ac:dyDescent="0.3">
      <c r="A158" t="s">
        <v>32</v>
      </c>
      <c r="B158" t="s">
        <v>50</v>
      </c>
      <c r="C158" s="4">
        <v>45814</v>
      </c>
      <c r="D158" t="s">
        <v>19</v>
      </c>
      <c r="E158">
        <v>9066</v>
      </c>
      <c r="F158">
        <v>8175</v>
      </c>
      <c r="G158">
        <v>653</v>
      </c>
      <c r="H158">
        <v>105</v>
      </c>
      <c r="I158">
        <f>Table2[[#This Row],[Total_Units]]-Table2[[#This Row],[Successful_Output]]-Table2[[#This Row],[Mortality_Count]]-Table2[[#This Row],[Contamination_Count]]</f>
        <v>133</v>
      </c>
      <c r="J158" s="6">
        <f>F158/E158</f>
        <v>0.90172071475843807</v>
      </c>
      <c r="K158" s="6">
        <f>G158/E158</f>
        <v>7.2027354952570039E-2</v>
      </c>
      <c r="L158" s="6">
        <f>H158/E158</f>
        <v>1.158173395102581E-2</v>
      </c>
      <c r="M158" t="str">
        <f>IF(G158/E158&gt;0.06,"High Risk","Normal")</f>
        <v>High Risk</v>
      </c>
    </row>
    <row r="159" spans="1:13" x14ac:dyDescent="0.3">
      <c r="A159" t="s">
        <v>32</v>
      </c>
      <c r="B159" t="s">
        <v>43</v>
      </c>
      <c r="C159" s="4">
        <v>45815</v>
      </c>
      <c r="D159" t="s">
        <v>19</v>
      </c>
      <c r="E159">
        <v>9368</v>
      </c>
      <c r="F159">
        <v>8127</v>
      </c>
      <c r="G159">
        <v>290</v>
      </c>
      <c r="H159">
        <v>211</v>
      </c>
      <c r="I159">
        <f>Table2[[#This Row],[Total_Units]]-Table2[[#This Row],[Successful_Output]]-Table2[[#This Row],[Mortality_Count]]-Table2[[#This Row],[Contamination_Count]]</f>
        <v>740</v>
      </c>
      <c r="J159" s="6">
        <f>F159/E159</f>
        <v>0.86752775405636207</v>
      </c>
      <c r="K159" s="6">
        <f>G159/E159</f>
        <v>3.0956447480785652E-2</v>
      </c>
      <c r="L159" s="6">
        <f>H159/E159</f>
        <v>2.2523484201537148E-2</v>
      </c>
      <c r="M159" t="str">
        <f>IF(G159/E159&gt;0.06,"High Risk","Normal")</f>
        <v>Normal</v>
      </c>
    </row>
    <row r="160" spans="1:13" x14ac:dyDescent="0.3">
      <c r="A160" t="s">
        <v>32</v>
      </c>
      <c r="B160" t="s">
        <v>44</v>
      </c>
      <c r="C160" s="4">
        <v>45816</v>
      </c>
      <c r="D160" t="s">
        <v>19</v>
      </c>
      <c r="E160">
        <v>9097</v>
      </c>
      <c r="F160">
        <v>7153</v>
      </c>
      <c r="G160">
        <v>192</v>
      </c>
      <c r="H160">
        <v>90</v>
      </c>
      <c r="I160">
        <f>Table2[[#This Row],[Total_Units]]-Table2[[#This Row],[Successful_Output]]-Table2[[#This Row],[Mortality_Count]]-Table2[[#This Row],[Contamination_Count]]</f>
        <v>1662</v>
      </c>
      <c r="J160" s="6">
        <f>F160/E160</f>
        <v>0.78630317687149609</v>
      </c>
      <c r="K160" s="6">
        <f>G160/E160</f>
        <v>2.1105859074420138E-2</v>
      </c>
      <c r="L160" s="6">
        <f>H160/E160</f>
        <v>9.8933714411344395E-3</v>
      </c>
      <c r="M160" t="str">
        <f>IF(G160/E160&gt;0.06,"High Risk","Normal")</f>
        <v>Normal</v>
      </c>
    </row>
    <row r="161" spans="1:13" x14ac:dyDescent="0.3">
      <c r="A161" t="s">
        <v>32</v>
      </c>
      <c r="B161" t="s">
        <v>51</v>
      </c>
      <c r="C161" s="4">
        <v>45817</v>
      </c>
      <c r="D161" t="s">
        <v>19</v>
      </c>
      <c r="E161">
        <v>11474</v>
      </c>
      <c r="F161">
        <v>10398</v>
      </c>
      <c r="G161">
        <v>265</v>
      </c>
      <c r="H161">
        <v>286</v>
      </c>
      <c r="I161">
        <f>Table2[[#This Row],[Total_Units]]-Table2[[#This Row],[Successful_Output]]-Table2[[#This Row],[Mortality_Count]]-Table2[[#This Row],[Contamination_Count]]</f>
        <v>525</v>
      </c>
      <c r="J161" s="6">
        <f>F161/E161</f>
        <v>0.90622276451106853</v>
      </c>
      <c r="K161" s="6">
        <f>G161/E161</f>
        <v>2.3095694613909708E-2</v>
      </c>
      <c r="L161" s="6">
        <f>H161/E161</f>
        <v>2.4925919470106327E-2</v>
      </c>
      <c r="M161" t="str">
        <f>IF(G161/E161&gt;0.06,"High Risk","Normal")</f>
        <v>Normal</v>
      </c>
    </row>
    <row r="162" spans="1:13" x14ac:dyDescent="0.3">
      <c r="A162" t="s">
        <v>32</v>
      </c>
      <c r="B162" t="s">
        <v>45</v>
      </c>
      <c r="C162" s="4">
        <v>45818</v>
      </c>
      <c r="D162" t="s">
        <v>19</v>
      </c>
      <c r="E162">
        <v>8432</v>
      </c>
      <c r="F162">
        <v>6784</v>
      </c>
      <c r="G162">
        <v>550</v>
      </c>
      <c r="H162">
        <v>229</v>
      </c>
      <c r="I162">
        <f>Table2[[#This Row],[Total_Units]]-Table2[[#This Row],[Successful_Output]]-Table2[[#This Row],[Mortality_Count]]-Table2[[#This Row],[Contamination_Count]]</f>
        <v>869</v>
      </c>
      <c r="J162" s="6">
        <f>F162/E162</f>
        <v>0.8045540796963947</v>
      </c>
      <c r="K162" s="6">
        <f>G162/E162</f>
        <v>6.5227703984819738E-2</v>
      </c>
      <c r="L162" s="6">
        <f>H162/E162</f>
        <v>2.7158444022770397E-2</v>
      </c>
      <c r="M162" t="str">
        <f>IF(G162/E162&gt;0.06,"High Risk","Normal")</f>
        <v>High Risk</v>
      </c>
    </row>
    <row r="163" spans="1:13" x14ac:dyDescent="0.3">
      <c r="A163" t="s">
        <v>32</v>
      </c>
      <c r="B163" t="s">
        <v>46</v>
      </c>
      <c r="C163" s="4">
        <v>45819</v>
      </c>
      <c r="D163" t="s">
        <v>19</v>
      </c>
      <c r="E163">
        <v>9911</v>
      </c>
      <c r="F163">
        <v>8782</v>
      </c>
      <c r="G163">
        <v>447</v>
      </c>
      <c r="H163">
        <v>139</v>
      </c>
      <c r="I163">
        <f>Table2[[#This Row],[Total_Units]]-Table2[[#This Row],[Successful_Output]]-Table2[[#This Row],[Mortality_Count]]-Table2[[#This Row],[Contamination_Count]]</f>
        <v>543</v>
      </c>
      <c r="J163" s="6">
        <f>F163/E163</f>
        <v>0.88608616688527897</v>
      </c>
      <c r="K163" s="6">
        <f>G163/E163</f>
        <v>4.5101402482090609E-2</v>
      </c>
      <c r="L163" s="6">
        <f>H163/E163</f>
        <v>1.4024820906063969E-2</v>
      </c>
      <c r="M163" t="str">
        <f>IF(G163/E163&gt;0.06,"High Risk","Normal")</f>
        <v>Normal</v>
      </c>
    </row>
    <row r="164" spans="1:13" x14ac:dyDescent="0.3">
      <c r="A164" t="s">
        <v>32</v>
      </c>
      <c r="B164" t="s">
        <v>52</v>
      </c>
      <c r="C164" s="4">
        <v>45820</v>
      </c>
      <c r="D164" t="s">
        <v>19</v>
      </c>
      <c r="E164">
        <v>10792</v>
      </c>
      <c r="F164">
        <v>9430</v>
      </c>
      <c r="G164">
        <v>521</v>
      </c>
      <c r="H164">
        <v>91</v>
      </c>
      <c r="I164">
        <f>Table2[[#This Row],[Total_Units]]-Table2[[#This Row],[Successful_Output]]-Table2[[#This Row],[Mortality_Count]]-Table2[[#This Row],[Contamination_Count]]</f>
        <v>750</v>
      </c>
      <c r="J164" s="6">
        <f>F164/E164</f>
        <v>0.87379540400296518</v>
      </c>
      <c r="K164" s="6">
        <f>G164/E164</f>
        <v>4.8276501111934766E-2</v>
      </c>
      <c r="L164" s="6">
        <f>H164/E164</f>
        <v>8.4321719792438844E-3</v>
      </c>
      <c r="M164" t="str">
        <f>IF(G164/E164&gt;0.06,"High Risk","Normal")</f>
        <v>Normal</v>
      </c>
    </row>
    <row r="165" spans="1:13" x14ac:dyDescent="0.3">
      <c r="A165" t="s">
        <v>32</v>
      </c>
      <c r="B165" t="s">
        <v>47</v>
      </c>
      <c r="C165" s="4">
        <v>45821</v>
      </c>
      <c r="D165" t="s">
        <v>19</v>
      </c>
      <c r="E165">
        <v>11152</v>
      </c>
      <c r="F165">
        <v>9378</v>
      </c>
      <c r="G165">
        <v>359</v>
      </c>
      <c r="H165">
        <v>276</v>
      </c>
      <c r="I165">
        <f>Table2[[#This Row],[Total_Units]]-Table2[[#This Row],[Successful_Output]]-Table2[[#This Row],[Mortality_Count]]-Table2[[#This Row],[Contamination_Count]]</f>
        <v>1139</v>
      </c>
      <c r="J165" s="6">
        <f>F165/E165</f>
        <v>0.84092539454806314</v>
      </c>
      <c r="K165" s="6">
        <f>G165/E165</f>
        <v>3.2191535150645621E-2</v>
      </c>
      <c r="L165" s="6">
        <f>H165/E165</f>
        <v>2.4748923959827834E-2</v>
      </c>
      <c r="M165" t="str">
        <f>IF(G165/E165&gt;0.06,"High Risk","Normal")</f>
        <v>Normal</v>
      </c>
    </row>
    <row r="166" spans="1:13" x14ac:dyDescent="0.3">
      <c r="A166" t="s">
        <v>32</v>
      </c>
      <c r="B166" t="s">
        <v>48</v>
      </c>
      <c r="C166" s="4">
        <v>45822</v>
      </c>
      <c r="D166" t="s">
        <v>19</v>
      </c>
      <c r="E166">
        <v>11461</v>
      </c>
      <c r="F166">
        <v>8861</v>
      </c>
      <c r="G166">
        <v>597</v>
      </c>
      <c r="H166">
        <v>98</v>
      </c>
      <c r="I166">
        <f>Table2[[#This Row],[Total_Units]]-Table2[[#This Row],[Successful_Output]]-Table2[[#This Row],[Mortality_Count]]-Table2[[#This Row],[Contamination_Count]]</f>
        <v>1905</v>
      </c>
      <c r="J166" s="6">
        <f>F166/E166</f>
        <v>0.77314370473780647</v>
      </c>
      <c r="K166" s="6">
        <f>G166/E166</f>
        <v>5.208969548904982E-2</v>
      </c>
      <c r="L166" s="6">
        <f>H166/E166</f>
        <v>8.5507372829596029E-3</v>
      </c>
      <c r="M166" t="str">
        <f>IF(G166/E166&gt;0.06,"High Risk","Normal")</f>
        <v>Normal</v>
      </c>
    </row>
    <row r="167" spans="1:13" x14ac:dyDescent="0.3">
      <c r="A167" t="s">
        <v>32</v>
      </c>
      <c r="B167" t="s">
        <v>54</v>
      </c>
      <c r="C167" s="4">
        <v>45823</v>
      </c>
      <c r="D167" t="s">
        <v>19</v>
      </c>
      <c r="E167">
        <v>8345</v>
      </c>
      <c r="F167">
        <v>6688</v>
      </c>
      <c r="G167">
        <v>607</v>
      </c>
      <c r="H167">
        <v>116</v>
      </c>
      <c r="I167">
        <f>Table2[[#This Row],[Total_Units]]-Table2[[#This Row],[Successful_Output]]-Table2[[#This Row],[Mortality_Count]]-Table2[[#This Row],[Contamination_Count]]</f>
        <v>934</v>
      </c>
      <c r="J167" s="6">
        <f>F167/E167</f>
        <v>0.80143798681845413</v>
      </c>
      <c r="K167" s="6">
        <f>G167/E167</f>
        <v>7.273816656680647E-2</v>
      </c>
      <c r="L167" s="6">
        <f>H167/E167</f>
        <v>1.3900539245056921E-2</v>
      </c>
      <c r="M167" t="str">
        <f>IF(G167/E167&gt;0.06,"High Risk","Normal")</f>
        <v>High Risk</v>
      </c>
    </row>
    <row r="168" spans="1:13" x14ac:dyDescent="0.3">
      <c r="A168" t="s">
        <v>32</v>
      </c>
      <c r="B168" t="s">
        <v>58</v>
      </c>
      <c r="C168" s="4">
        <v>45824</v>
      </c>
      <c r="D168" t="s">
        <v>19</v>
      </c>
      <c r="E168">
        <v>10865</v>
      </c>
      <c r="F168">
        <v>9081</v>
      </c>
      <c r="G168">
        <v>723</v>
      </c>
      <c r="H168">
        <v>219</v>
      </c>
      <c r="I168">
        <f>Table2[[#This Row],[Total_Units]]-Table2[[#This Row],[Successful_Output]]-Table2[[#This Row],[Mortality_Count]]-Table2[[#This Row],[Contamination_Count]]</f>
        <v>842</v>
      </c>
      <c r="J168" s="6">
        <f>F168/E168</f>
        <v>0.83580303727565575</v>
      </c>
      <c r="K168" s="6">
        <f>G168/E168</f>
        <v>6.6543948458352514E-2</v>
      </c>
      <c r="L168" s="6">
        <f>H168/E168</f>
        <v>2.0156465715600553E-2</v>
      </c>
      <c r="M168" t="str">
        <f>IF(G168/E168&gt;0.06,"High Risk","Normal")</f>
        <v>High Risk</v>
      </c>
    </row>
    <row r="169" spans="1:13" x14ac:dyDescent="0.3">
      <c r="A169" t="s">
        <v>32</v>
      </c>
      <c r="B169" t="s">
        <v>59</v>
      </c>
      <c r="C169" s="4">
        <v>45825</v>
      </c>
      <c r="D169" t="s">
        <v>19</v>
      </c>
      <c r="E169">
        <v>10482</v>
      </c>
      <c r="F169">
        <v>9129</v>
      </c>
      <c r="G169">
        <v>491</v>
      </c>
      <c r="H169">
        <v>292</v>
      </c>
      <c r="I169">
        <f>Table2[[#This Row],[Total_Units]]-Table2[[#This Row],[Successful_Output]]-Table2[[#This Row],[Mortality_Count]]-Table2[[#This Row],[Contamination_Count]]</f>
        <v>570</v>
      </c>
      <c r="J169" s="6">
        <f>F169/E169</f>
        <v>0.87092157985117347</v>
      </c>
      <c r="K169" s="6">
        <f>G169/E169</f>
        <v>4.6842205685937797E-2</v>
      </c>
      <c r="L169" s="6">
        <f>H169/E169</f>
        <v>2.7857279145201298E-2</v>
      </c>
      <c r="M169" t="str">
        <f>IF(G169/E169&gt;0.06,"High Risk","Normal")</f>
        <v>Normal</v>
      </c>
    </row>
    <row r="170" spans="1:13" x14ac:dyDescent="0.3">
      <c r="A170" t="s">
        <v>32</v>
      </c>
      <c r="B170" t="s">
        <v>56</v>
      </c>
      <c r="C170" s="4">
        <v>45826</v>
      </c>
      <c r="D170" t="s">
        <v>19</v>
      </c>
      <c r="E170">
        <v>11802</v>
      </c>
      <c r="F170">
        <v>10440</v>
      </c>
      <c r="G170">
        <v>526</v>
      </c>
      <c r="H170">
        <v>179</v>
      </c>
      <c r="I170">
        <f>Table2[[#This Row],[Total_Units]]-Table2[[#This Row],[Successful_Output]]-Table2[[#This Row],[Mortality_Count]]-Table2[[#This Row],[Contamination_Count]]</f>
        <v>657</v>
      </c>
      <c r="J170" s="6">
        <f>F170/E170</f>
        <v>0.88459583121504826</v>
      </c>
      <c r="K170" s="6">
        <f>G170/E170</f>
        <v>4.4568717166581936E-2</v>
      </c>
      <c r="L170" s="6">
        <f>H170/E170</f>
        <v>1.5166920860871038E-2</v>
      </c>
      <c r="M170" t="str">
        <f>IF(G170/E170&gt;0.06,"High Risk","Normal")</f>
        <v>Normal</v>
      </c>
    </row>
    <row r="171" spans="1:13" x14ac:dyDescent="0.3">
      <c r="A171" t="s">
        <v>32</v>
      </c>
      <c r="B171" t="s">
        <v>60</v>
      </c>
      <c r="C171" s="4">
        <v>45827</v>
      </c>
      <c r="D171" t="s">
        <v>19</v>
      </c>
      <c r="E171">
        <v>9968</v>
      </c>
      <c r="F171">
        <v>8376</v>
      </c>
      <c r="G171">
        <v>510</v>
      </c>
      <c r="H171">
        <v>55</v>
      </c>
      <c r="I171">
        <f>Table2[[#This Row],[Total_Units]]-Table2[[#This Row],[Successful_Output]]-Table2[[#This Row],[Mortality_Count]]-Table2[[#This Row],[Contamination_Count]]</f>
        <v>1027</v>
      </c>
      <c r="J171" s="6">
        <f>F171/E171</f>
        <v>0.8402889245585875</v>
      </c>
      <c r="K171" s="6">
        <f>G171/E171</f>
        <v>5.1163723916532906E-2</v>
      </c>
      <c r="L171" s="6">
        <f>H171/E171</f>
        <v>5.5176565008025679E-3</v>
      </c>
      <c r="M171" t="str">
        <f>IF(G171/E171&gt;0.06,"High Risk","Normal")</f>
        <v>Normal</v>
      </c>
    </row>
    <row r="172" spans="1:13" x14ac:dyDescent="0.3">
      <c r="A172" t="s">
        <v>32</v>
      </c>
      <c r="B172" t="s">
        <v>61</v>
      </c>
      <c r="C172" s="4">
        <v>45828</v>
      </c>
      <c r="D172" t="s">
        <v>19</v>
      </c>
      <c r="E172">
        <v>10099</v>
      </c>
      <c r="F172">
        <v>8537</v>
      </c>
      <c r="G172">
        <v>724</v>
      </c>
      <c r="H172">
        <v>270</v>
      </c>
      <c r="I172">
        <f>Table2[[#This Row],[Total_Units]]-Table2[[#This Row],[Successful_Output]]-Table2[[#This Row],[Mortality_Count]]-Table2[[#This Row],[Contamination_Count]]</f>
        <v>568</v>
      </c>
      <c r="J172" s="6">
        <f>F172/E172</f>
        <v>0.84533122091296165</v>
      </c>
      <c r="K172" s="6">
        <f>G172/E172</f>
        <v>7.1690266363006239E-2</v>
      </c>
      <c r="L172" s="6">
        <f>H172/E172</f>
        <v>2.673532032874542E-2</v>
      </c>
      <c r="M172" t="str">
        <f>IF(G172/E172&gt;0.06,"High Risk","Normal")</f>
        <v>High Risk</v>
      </c>
    </row>
    <row r="173" spans="1:13" x14ac:dyDescent="0.3">
      <c r="A173" t="s">
        <v>32</v>
      </c>
      <c r="B173" t="s">
        <v>57</v>
      </c>
      <c r="C173" s="4">
        <v>45829</v>
      </c>
      <c r="D173" t="s">
        <v>19</v>
      </c>
      <c r="E173">
        <v>9629</v>
      </c>
      <c r="F173">
        <v>8356</v>
      </c>
      <c r="G173">
        <v>594</v>
      </c>
      <c r="H173">
        <v>146</v>
      </c>
      <c r="I173">
        <f>Table2[[#This Row],[Total_Units]]-Table2[[#This Row],[Successful_Output]]-Table2[[#This Row],[Mortality_Count]]-Table2[[#This Row],[Contamination_Count]]</f>
        <v>533</v>
      </c>
      <c r="J173" s="6">
        <f>F173/E173</f>
        <v>0.86779520199397653</v>
      </c>
      <c r="K173" s="6">
        <f>G173/E173</f>
        <v>6.1688648873195556E-2</v>
      </c>
      <c r="L173" s="6">
        <f>H173/E173</f>
        <v>1.5162529857721466E-2</v>
      </c>
      <c r="M173" t="str">
        <f>IF(G173/E173&gt;0.06,"High Risk","Normal")</f>
        <v>High Risk</v>
      </c>
    </row>
    <row r="174" spans="1:13" x14ac:dyDescent="0.3">
      <c r="A174" t="s">
        <v>32</v>
      </c>
      <c r="B174" t="s">
        <v>62</v>
      </c>
      <c r="C174" s="4">
        <v>45830</v>
      </c>
      <c r="D174" t="s">
        <v>19</v>
      </c>
      <c r="E174">
        <v>9304</v>
      </c>
      <c r="F174">
        <v>7507</v>
      </c>
      <c r="G174">
        <v>659</v>
      </c>
      <c r="H174">
        <v>124</v>
      </c>
      <c r="I174">
        <f>Table2[[#This Row],[Total_Units]]-Table2[[#This Row],[Successful_Output]]-Table2[[#This Row],[Mortality_Count]]-Table2[[#This Row],[Contamination_Count]]</f>
        <v>1014</v>
      </c>
      <c r="J174" s="6">
        <f>F174/E174</f>
        <v>0.80685726569217542</v>
      </c>
      <c r="K174" s="6">
        <f>G174/E174</f>
        <v>7.0829750644883921E-2</v>
      </c>
      <c r="L174" s="6">
        <f>H174/E174</f>
        <v>1.3327601031814273E-2</v>
      </c>
      <c r="M174" t="str">
        <f>IF(G174/E174&gt;0.06,"High Risk","Normal")</f>
        <v>High Risk</v>
      </c>
    </row>
    <row r="175" spans="1:13" x14ac:dyDescent="0.3">
      <c r="A175" t="s">
        <v>32</v>
      </c>
      <c r="B175" t="s">
        <v>63</v>
      </c>
      <c r="C175" s="4">
        <v>45831</v>
      </c>
      <c r="D175" t="s">
        <v>19</v>
      </c>
      <c r="E175">
        <v>10492</v>
      </c>
      <c r="F175">
        <v>8344</v>
      </c>
      <c r="G175">
        <v>725</v>
      </c>
      <c r="H175">
        <v>255</v>
      </c>
      <c r="I175">
        <f>Table2[[#This Row],[Total_Units]]-Table2[[#This Row],[Successful_Output]]-Table2[[#This Row],[Mortality_Count]]-Table2[[#This Row],[Contamination_Count]]</f>
        <v>1168</v>
      </c>
      <c r="J175" s="6">
        <f>F175/E175</f>
        <v>0.795272588638963</v>
      </c>
      <c r="K175" s="6">
        <f>G175/E175</f>
        <v>6.9100266869996194E-2</v>
      </c>
      <c r="L175" s="6">
        <f>H175/E175</f>
        <v>2.430423179565383E-2</v>
      </c>
      <c r="M175" t="str">
        <f>IF(G175/E175&gt;0.06,"High Risk","Normal")</f>
        <v>High Risk</v>
      </c>
    </row>
    <row r="176" spans="1:13" x14ac:dyDescent="0.3">
      <c r="A176" t="s">
        <v>32</v>
      </c>
      <c r="B176" t="s">
        <v>55</v>
      </c>
      <c r="C176" s="4">
        <v>45832</v>
      </c>
      <c r="D176" t="s">
        <v>19</v>
      </c>
      <c r="E176">
        <v>8107</v>
      </c>
      <c r="F176">
        <v>6187</v>
      </c>
      <c r="G176">
        <v>548</v>
      </c>
      <c r="H176">
        <v>67</v>
      </c>
      <c r="I176">
        <f>Table2[[#This Row],[Total_Units]]-Table2[[#This Row],[Successful_Output]]-Table2[[#This Row],[Mortality_Count]]-Table2[[#This Row],[Contamination_Count]]</f>
        <v>1305</v>
      </c>
      <c r="J176" s="6">
        <f>F176/E176</f>
        <v>0.76316763290983103</v>
      </c>
      <c r="K176" s="6">
        <f>G176/E176</f>
        <v>6.7595904773652404E-2</v>
      </c>
      <c r="L176" s="6">
        <f>H176/E176</f>
        <v>8.2644628099173556E-3</v>
      </c>
      <c r="M176" t="str">
        <f>IF(G176/E176&gt;0.06,"High Risk","Normal")</f>
        <v>High Risk</v>
      </c>
    </row>
    <row r="177" spans="1:13" x14ac:dyDescent="0.3">
      <c r="A177" t="s">
        <v>32</v>
      </c>
      <c r="B177" t="s">
        <v>64</v>
      </c>
      <c r="C177" s="4">
        <v>45833</v>
      </c>
      <c r="D177" t="s">
        <v>19</v>
      </c>
      <c r="E177">
        <v>11298</v>
      </c>
      <c r="F177">
        <v>9734</v>
      </c>
      <c r="G177">
        <v>880</v>
      </c>
      <c r="H177">
        <v>95</v>
      </c>
      <c r="I177">
        <f>Table2[[#This Row],[Total_Units]]-Table2[[#This Row],[Successful_Output]]-Table2[[#This Row],[Mortality_Count]]-Table2[[#This Row],[Contamination_Count]]</f>
        <v>589</v>
      </c>
      <c r="J177" s="6">
        <f>F177/E177</f>
        <v>0.86156841918923699</v>
      </c>
      <c r="K177" s="6">
        <f>G177/E177</f>
        <v>7.7889892016286072E-2</v>
      </c>
      <c r="L177" s="6">
        <f>H177/E177</f>
        <v>8.4085678881217919E-3</v>
      </c>
      <c r="M177" t="str">
        <f>IF(G177/E177&gt;0.06,"High Risk","Normal")</f>
        <v>High Risk</v>
      </c>
    </row>
    <row r="178" spans="1:13" x14ac:dyDescent="0.3">
      <c r="A178" t="s">
        <v>32</v>
      </c>
      <c r="B178" t="s">
        <v>65</v>
      </c>
      <c r="C178" s="4">
        <v>45834</v>
      </c>
      <c r="D178" t="s">
        <v>19</v>
      </c>
      <c r="E178">
        <v>11825</v>
      </c>
      <c r="F178">
        <v>9292</v>
      </c>
      <c r="G178">
        <v>657</v>
      </c>
      <c r="H178">
        <v>118</v>
      </c>
      <c r="I178">
        <f>Table2[[#This Row],[Total_Units]]-Table2[[#This Row],[Successful_Output]]-Table2[[#This Row],[Mortality_Count]]-Table2[[#This Row],[Contamination_Count]]</f>
        <v>1758</v>
      </c>
      <c r="J178" s="6">
        <f>F178/E178</f>
        <v>0.78579281183932348</v>
      </c>
      <c r="K178" s="6">
        <f>G178/E178</f>
        <v>5.5560253699788585E-2</v>
      </c>
      <c r="L178" s="6">
        <f>H178/E178</f>
        <v>9.978858350951374E-3</v>
      </c>
      <c r="M178" t="str">
        <f>IF(G178/E178&gt;0.06,"High Risk","Normal")</f>
        <v>Normal</v>
      </c>
    </row>
    <row r="179" spans="1:13" x14ac:dyDescent="0.3">
      <c r="A179" t="s">
        <v>32</v>
      </c>
      <c r="B179" t="s">
        <v>53</v>
      </c>
      <c r="C179" s="4">
        <v>45835</v>
      </c>
      <c r="D179" t="s">
        <v>19</v>
      </c>
      <c r="E179">
        <v>9894</v>
      </c>
      <c r="F179">
        <v>8494</v>
      </c>
      <c r="G179">
        <v>780</v>
      </c>
      <c r="H179">
        <v>209</v>
      </c>
      <c r="I179">
        <f>Table2[[#This Row],[Total_Units]]-Table2[[#This Row],[Successful_Output]]-Table2[[#This Row],[Mortality_Count]]-Table2[[#This Row],[Contamination_Count]]</f>
        <v>411</v>
      </c>
      <c r="J179" s="6">
        <f>F179/E179</f>
        <v>0.85850010107135633</v>
      </c>
      <c r="K179" s="6">
        <f>G179/E179</f>
        <v>7.8835657974530016E-2</v>
      </c>
      <c r="L179" s="6">
        <f>H179/E179</f>
        <v>2.1123913482918942E-2</v>
      </c>
      <c r="M179" t="str">
        <f>IF(G179/E179&gt;0.06,"High Risk","Normal")</f>
        <v>High Risk</v>
      </c>
    </row>
    <row r="180" spans="1:13" x14ac:dyDescent="0.3">
      <c r="A180" t="s">
        <v>32</v>
      </c>
      <c r="B180" t="s">
        <v>66</v>
      </c>
      <c r="C180" s="4">
        <v>45836</v>
      </c>
      <c r="D180" t="s">
        <v>19</v>
      </c>
      <c r="E180">
        <v>8210</v>
      </c>
      <c r="F180">
        <v>7513</v>
      </c>
      <c r="G180">
        <v>564</v>
      </c>
      <c r="H180">
        <v>189</v>
      </c>
      <c r="I180">
        <f>Table2[[#This Row],[Total_Units]]-Table2[[#This Row],[Successful_Output]]-Table2[[#This Row],[Mortality_Count]]-Table2[[#This Row],[Contamination_Count]]</f>
        <v>-56</v>
      </c>
      <c r="J180" s="6">
        <f>F180/E180</f>
        <v>0.91510353227771013</v>
      </c>
      <c r="K180" s="6">
        <f>G180/E180</f>
        <v>6.8696711327649207E-2</v>
      </c>
      <c r="L180" s="6">
        <f>H180/E180</f>
        <v>2.3020706455542023E-2</v>
      </c>
      <c r="M180" t="str">
        <f>IF(G180/E180&gt;0.06,"High Risk","Normal")</f>
        <v>High Risk</v>
      </c>
    </row>
    <row r="181" spans="1:13" x14ac:dyDescent="0.3">
      <c r="A181" t="s">
        <v>32</v>
      </c>
      <c r="B181" t="s">
        <v>67</v>
      </c>
      <c r="C181" s="4">
        <v>45837</v>
      </c>
      <c r="D181" t="s">
        <v>19</v>
      </c>
      <c r="E181">
        <v>8696</v>
      </c>
      <c r="F181">
        <v>7171</v>
      </c>
      <c r="G181">
        <v>501</v>
      </c>
      <c r="H181">
        <v>139</v>
      </c>
      <c r="I181">
        <f>Table2[[#This Row],[Total_Units]]-Table2[[#This Row],[Successful_Output]]-Table2[[#This Row],[Mortality_Count]]-Table2[[#This Row],[Contamination_Count]]</f>
        <v>885</v>
      </c>
      <c r="J181" s="6">
        <f>F181/E181</f>
        <v>0.82463201471941128</v>
      </c>
      <c r="K181" s="6">
        <f>G181/E181</f>
        <v>5.7612695492180316E-2</v>
      </c>
      <c r="L181" s="6">
        <f>H181/E181</f>
        <v>1.5984360625574977E-2</v>
      </c>
      <c r="M181" t="str">
        <f>IF(G181/E181&gt;0.06,"High Risk","Normal")</f>
        <v>Normal</v>
      </c>
    </row>
    <row r="182" spans="1:13" x14ac:dyDescent="0.3">
      <c r="A182" t="s">
        <v>32</v>
      </c>
      <c r="B182" t="s">
        <v>68</v>
      </c>
      <c r="C182" s="4">
        <v>45838</v>
      </c>
      <c r="D182" t="s">
        <v>19</v>
      </c>
      <c r="E182">
        <v>11819</v>
      </c>
      <c r="F182">
        <v>10524</v>
      </c>
      <c r="G182">
        <v>718</v>
      </c>
      <c r="H182">
        <v>234</v>
      </c>
      <c r="I182">
        <f>Table2[[#This Row],[Total_Units]]-Table2[[#This Row],[Successful_Output]]-Table2[[#This Row],[Mortality_Count]]-Table2[[#This Row],[Contamination_Count]]</f>
        <v>343</v>
      </c>
      <c r="J182" s="6">
        <f>F182/E182</f>
        <v>0.89043066249259661</v>
      </c>
      <c r="K182" s="6">
        <f>G182/E182</f>
        <v>6.0749640409510114E-2</v>
      </c>
      <c r="L182" s="6">
        <f>H182/E182</f>
        <v>1.9798629325662068E-2</v>
      </c>
      <c r="M182" t="str">
        <f>IF(G182/E182&gt;0.06,"High Risk","Normal")</f>
        <v>High Risk</v>
      </c>
    </row>
    <row r="183" spans="1:13" x14ac:dyDescent="0.3">
      <c r="A183" t="s">
        <v>33</v>
      </c>
      <c r="B183" t="s">
        <v>39</v>
      </c>
      <c r="C183" s="4">
        <v>45839</v>
      </c>
      <c r="D183" t="s">
        <v>20</v>
      </c>
      <c r="E183">
        <v>11819</v>
      </c>
      <c r="F183">
        <v>10524</v>
      </c>
      <c r="G183">
        <v>718</v>
      </c>
      <c r="H183">
        <v>234</v>
      </c>
      <c r="I183">
        <f>Table2[[#This Row],[Total_Units]]-Table2[[#This Row],[Successful_Output]]-Table2[[#This Row],[Mortality_Count]]-Table2[[#This Row],[Contamination_Count]]</f>
        <v>343</v>
      </c>
      <c r="J183" s="6">
        <f>F183/E183</f>
        <v>0.89043066249259661</v>
      </c>
      <c r="K183" s="6">
        <f>G183/E183</f>
        <v>6.0749640409510114E-2</v>
      </c>
      <c r="L183" s="6">
        <f>H183/E183</f>
        <v>1.9798629325662068E-2</v>
      </c>
      <c r="M183" t="str">
        <f>IF(G183/E183&gt;0.06,"High Risk","Normal")</f>
        <v>High Risk</v>
      </c>
    </row>
    <row r="184" spans="1:13" x14ac:dyDescent="0.3">
      <c r="A184" t="s">
        <v>33</v>
      </c>
      <c r="B184" t="s">
        <v>40</v>
      </c>
      <c r="C184" s="4">
        <v>45840</v>
      </c>
      <c r="D184" t="s">
        <v>20</v>
      </c>
      <c r="E184">
        <v>8362</v>
      </c>
      <c r="F184">
        <v>7501</v>
      </c>
      <c r="G184">
        <v>628</v>
      </c>
      <c r="H184">
        <v>177</v>
      </c>
      <c r="I184">
        <f>Table2[[#This Row],[Total_Units]]-Table2[[#This Row],[Successful_Output]]-Table2[[#This Row],[Mortality_Count]]-Table2[[#This Row],[Contamination_Count]]</f>
        <v>56</v>
      </c>
      <c r="J184" s="6">
        <f>F184/E184</f>
        <v>0.89703420234393683</v>
      </c>
      <c r="K184" s="6">
        <f>G184/E184</f>
        <v>7.5101650322889263E-2</v>
      </c>
      <c r="L184" s="6">
        <f>H184/E184</f>
        <v>2.1167184883999043E-2</v>
      </c>
      <c r="M184" t="str">
        <f>IF(G184/E184&gt;0.06,"High Risk","Normal")</f>
        <v>High Risk</v>
      </c>
    </row>
    <row r="185" spans="1:13" x14ac:dyDescent="0.3">
      <c r="A185" t="s">
        <v>33</v>
      </c>
      <c r="B185" t="s">
        <v>49</v>
      </c>
      <c r="C185" s="4">
        <v>45841</v>
      </c>
      <c r="D185" t="s">
        <v>20</v>
      </c>
      <c r="E185">
        <v>10605</v>
      </c>
      <c r="F185">
        <v>9460</v>
      </c>
      <c r="G185">
        <v>796</v>
      </c>
      <c r="H185">
        <v>302</v>
      </c>
      <c r="I185">
        <f>Table2[[#This Row],[Total_Units]]-Table2[[#This Row],[Successful_Output]]-Table2[[#This Row],[Mortality_Count]]-Table2[[#This Row],[Contamination_Count]]</f>
        <v>47</v>
      </c>
      <c r="J185" s="6">
        <f>F185/E185</f>
        <v>0.89203206034889204</v>
      </c>
      <c r="K185" s="6">
        <f>G185/E185</f>
        <v>7.5058934464875063E-2</v>
      </c>
      <c r="L185" s="6">
        <f>H185/E185</f>
        <v>2.8477133427628476E-2</v>
      </c>
      <c r="M185" t="str">
        <f>IF(G185/E185&gt;0.06,"High Risk","Normal")</f>
        <v>High Risk</v>
      </c>
    </row>
    <row r="186" spans="1:13" x14ac:dyDescent="0.3">
      <c r="A186" t="s">
        <v>33</v>
      </c>
      <c r="B186" t="s">
        <v>41</v>
      </c>
      <c r="C186" s="4">
        <v>45842</v>
      </c>
      <c r="D186" t="s">
        <v>20</v>
      </c>
      <c r="E186">
        <v>10065</v>
      </c>
      <c r="F186">
        <v>8417</v>
      </c>
      <c r="G186">
        <v>548</v>
      </c>
      <c r="H186">
        <v>197</v>
      </c>
      <c r="I186">
        <f>Table2[[#This Row],[Total_Units]]-Table2[[#This Row],[Successful_Output]]-Table2[[#This Row],[Mortality_Count]]-Table2[[#This Row],[Contamination_Count]]</f>
        <v>903</v>
      </c>
      <c r="J186" s="6">
        <f>F186/E186</f>
        <v>0.83626428216592152</v>
      </c>
      <c r="K186" s="6">
        <f>G186/E186</f>
        <v>5.4446100347739695E-2</v>
      </c>
      <c r="L186" s="6">
        <f>H186/E186</f>
        <v>1.9572776949826131E-2</v>
      </c>
      <c r="M186" t="str">
        <f>IF(G186/E186&gt;0.06,"High Risk","Normal")</f>
        <v>Normal</v>
      </c>
    </row>
    <row r="187" spans="1:13" x14ac:dyDescent="0.3">
      <c r="A187" t="s">
        <v>33</v>
      </c>
      <c r="B187" t="s">
        <v>42</v>
      </c>
      <c r="C187" s="4">
        <v>45843</v>
      </c>
      <c r="D187" t="s">
        <v>20</v>
      </c>
      <c r="E187">
        <v>10704</v>
      </c>
      <c r="F187">
        <v>9423</v>
      </c>
      <c r="G187">
        <v>825</v>
      </c>
      <c r="H187">
        <v>180</v>
      </c>
      <c r="I187">
        <f>Table2[[#This Row],[Total_Units]]-Table2[[#This Row],[Successful_Output]]-Table2[[#This Row],[Mortality_Count]]-Table2[[#This Row],[Contamination_Count]]</f>
        <v>276</v>
      </c>
      <c r="J187" s="6">
        <f>F187/E187</f>
        <v>0.88032511210762332</v>
      </c>
      <c r="K187" s="6">
        <f>G187/E187</f>
        <v>7.7073991031390135E-2</v>
      </c>
      <c r="L187" s="6">
        <f>H187/E187</f>
        <v>1.6816143497757848E-2</v>
      </c>
      <c r="M187" t="str">
        <f>IF(G187/E187&gt;0.06,"High Risk","Normal")</f>
        <v>High Risk</v>
      </c>
    </row>
    <row r="188" spans="1:13" x14ac:dyDescent="0.3">
      <c r="A188" t="s">
        <v>33</v>
      </c>
      <c r="B188" t="s">
        <v>50</v>
      </c>
      <c r="C188" s="4">
        <v>45844</v>
      </c>
      <c r="D188" t="s">
        <v>20</v>
      </c>
      <c r="E188">
        <v>8421</v>
      </c>
      <c r="F188">
        <v>7096</v>
      </c>
      <c r="G188">
        <v>557</v>
      </c>
      <c r="H188">
        <v>164</v>
      </c>
      <c r="I188">
        <f>Table2[[#This Row],[Total_Units]]-Table2[[#This Row],[Successful_Output]]-Table2[[#This Row],[Mortality_Count]]-Table2[[#This Row],[Contamination_Count]]</f>
        <v>604</v>
      </c>
      <c r="J188" s="6">
        <f>F188/E188</f>
        <v>0.84265526659541623</v>
      </c>
      <c r="K188" s="6">
        <f>G188/E188</f>
        <v>6.614416340102125E-2</v>
      </c>
      <c r="L188" s="6">
        <f>H188/E188</f>
        <v>1.9475121719510748E-2</v>
      </c>
      <c r="M188" t="str">
        <f>IF(G188/E188&gt;0.06,"High Risk","Normal")</f>
        <v>High Risk</v>
      </c>
    </row>
    <row r="189" spans="1:13" x14ac:dyDescent="0.3">
      <c r="A189" t="s">
        <v>33</v>
      </c>
      <c r="B189" t="s">
        <v>43</v>
      </c>
      <c r="C189" s="4">
        <v>45845</v>
      </c>
      <c r="D189" t="s">
        <v>20</v>
      </c>
      <c r="E189">
        <v>9532</v>
      </c>
      <c r="F189">
        <v>8225</v>
      </c>
      <c r="G189">
        <v>629</v>
      </c>
      <c r="H189">
        <v>223</v>
      </c>
      <c r="I189">
        <f>Table2[[#This Row],[Total_Units]]-Table2[[#This Row],[Successful_Output]]-Table2[[#This Row],[Mortality_Count]]-Table2[[#This Row],[Contamination_Count]]</f>
        <v>455</v>
      </c>
      <c r="J189" s="6">
        <f>F189/E189</f>
        <v>0.86288292068820815</v>
      </c>
      <c r="K189" s="6">
        <f>G189/E189</f>
        <v>6.5988250104909774E-2</v>
      </c>
      <c r="L189" s="6">
        <f>H189/E189</f>
        <v>2.3394880402853546E-2</v>
      </c>
      <c r="M189" t="str">
        <f>IF(G189/E189&gt;0.06,"High Risk","Normal")</f>
        <v>High Risk</v>
      </c>
    </row>
    <row r="190" spans="1:13" x14ac:dyDescent="0.3">
      <c r="A190" t="s">
        <v>33</v>
      </c>
      <c r="B190" t="s">
        <v>44</v>
      </c>
      <c r="C190" s="4">
        <v>45846</v>
      </c>
      <c r="D190" t="s">
        <v>20</v>
      </c>
      <c r="E190">
        <v>9138</v>
      </c>
      <c r="F190">
        <v>7182</v>
      </c>
      <c r="G190">
        <v>277</v>
      </c>
      <c r="H190">
        <v>75</v>
      </c>
      <c r="I190">
        <f>Table2[[#This Row],[Total_Units]]-Table2[[#This Row],[Successful_Output]]-Table2[[#This Row],[Mortality_Count]]-Table2[[#This Row],[Contamination_Count]]</f>
        <v>1604</v>
      </c>
      <c r="J190" s="6">
        <f>F190/E190</f>
        <v>0.78594878529218648</v>
      </c>
      <c r="K190" s="6">
        <f>G190/E190</f>
        <v>3.0312978769971546E-2</v>
      </c>
      <c r="L190" s="6">
        <f>H190/E190</f>
        <v>8.2074852265265931E-3</v>
      </c>
      <c r="M190" t="str">
        <f>IF(G190/E190&gt;0.06,"High Risk","Normal")</f>
        <v>Normal</v>
      </c>
    </row>
    <row r="191" spans="1:13" x14ac:dyDescent="0.3">
      <c r="A191" t="s">
        <v>33</v>
      </c>
      <c r="B191" t="s">
        <v>51</v>
      </c>
      <c r="C191" s="4">
        <v>45847</v>
      </c>
      <c r="D191" t="s">
        <v>20</v>
      </c>
      <c r="E191">
        <v>9158</v>
      </c>
      <c r="F191">
        <v>7361</v>
      </c>
      <c r="G191">
        <v>469</v>
      </c>
      <c r="H191">
        <v>222</v>
      </c>
      <c r="I191">
        <f>Table2[[#This Row],[Total_Units]]-Table2[[#This Row],[Successful_Output]]-Table2[[#This Row],[Mortality_Count]]-Table2[[#This Row],[Contamination_Count]]</f>
        <v>1106</v>
      </c>
      <c r="J191" s="6">
        <f>F191/E191</f>
        <v>0.8037781174929024</v>
      </c>
      <c r="K191" s="6">
        <f>G191/E191</f>
        <v>5.1212055033850186E-2</v>
      </c>
      <c r="L191" s="6">
        <f>H191/E191</f>
        <v>2.4241100677003712E-2</v>
      </c>
      <c r="M191" t="str">
        <f>IF(G191/E191&gt;0.06,"High Risk","Normal")</f>
        <v>Normal</v>
      </c>
    </row>
    <row r="192" spans="1:13" x14ac:dyDescent="0.3">
      <c r="A192" t="s">
        <v>33</v>
      </c>
      <c r="B192" t="s">
        <v>45</v>
      </c>
      <c r="C192" s="4">
        <v>45848</v>
      </c>
      <c r="D192" t="s">
        <v>20</v>
      </c>
      <c r="E192">
        <v>10053</v>
      </c>
      <c r="F192">
        <v>9210</v>
      </c>
      <c r="G192">
        <v>262</v>
      </c>
      <c r="H192">
        <v>52</v>
      </c>
      <c r="I192">
        <f>Table2[[#This Row],[Total_Units]]-Table2[[#This Row],[Successful_Output]]-Table2[[#This Row],[Mortality_Count]]-Table2[[#This Row],[Contamination_Count]]</f>
        <v>529</v>
      </c>
      <c r="J192" s="6">
        <f>F192/E192</f>
        <v>0.91614443449716498</v>
      </c>
      <c r="K192" s="6">
        <f>G192/E192</f>
        <v>2.6061872077986669E-2</v>
      </c>
      <c r="L192" s="6">
        <f>H192/E192</f>
        <v>5.172585297921019E-3</v>
      </c>
      <c r="M192" t="str">
        <f>IF(G192/E192&gt;0.06,"High Risk","Normal")</f>
        <v>Normal</v>
      </c>
    </row>
    <row r="193" spans="1:13" x14ac:dyDescent="0.3">
      <c r="A193" t="s">
        <v>33</v>
      </c>
      <c r="B193" t="s">
        <v>46</v>
      </c>
      <c r="C193" s="4">
        <v>45849</v>
      </c>
      <c r="D193" t="s">
        <v>20</v>
      </c>
      <c r="E193">
        <v>9038</v>
      </c>
      <c r="F193">
        <v>6839</v>
      </c>
      <c r="G193">
        <v>370</v>
      </c>
      <c r="H193">
        <v>213</v>
      </c>
      <c r="I193">
        <f>Table2[[#This Row],[Total_Units]]-Table2[[#This Row],[Successful_Output]]-Table2[[#This Row],[Mortality_Count]]-Table2[[#This Row],[Contamination_Count]]</f>
        <v>1616</v>
      </c>
      <c r="J193" s="6">
        <f>F193/E193</f>
        <v>0.75669395884045143</v>
      </c>
      <c r="K193" s="6">
        <f>G193/E193</f>
        <v>4.0938260677140959E-2</v>
      </c>
      <c r="L193" s="6">
        <f>H193/E193</f>
        <v>2.3567160876300067E-2</v>
      </c>
      <c r="M193" t="str">
        <f>IF(G193/E193&gt;0.06,"High Risk","Normal")</f>
        <v>Normal</v>
      </c>
    </row>
    <row r="194" spans="1:13" x14ac:dyDescent="0.3">
      <c r="A194" t="s">
        <v>33</v>
      </c>
      <c r="B194" t="s">
        <v>52</v>
      </c>
      <c r="C194" s="4">
        <v>45850</v>
      </c>
      <c r="D194" t="s">
        <v>20</v>
      </c>
      <c r="E194">
        <v>10177</v>
      </c>
      <c r="F194">
        <v>7802</v>
      </c>
      <c r="G194">
        <v>381</v>
      </c>
      <c r="H194">
        <v>136</v>
      </c>
      <c r="I194">
        <f>Table2[[#This Row],[Total_Units]]-Table2[[#This Row],[Successful_Output]]-Table2[[#This Row],[Mortality_Count]]-Table2[[#This Row],[Contamination_Count]]</f>
        <v>1858</v>
      </c>
      <c r="J194" s="6">
        <f>F194/E194</f>
        <v>0.76663063771248896</v>
      </c>
      <c r="K194" s="6">
        <f>G194/E194</f>
        <v>3.7437358750122829E-2</v>
      </c>
      <c r="L194" s="6">
        <f>H194/E194</f>
        <v>1.3363466640463791E-2</v>
      </c>
      <c r="M194" t="str">
        <f>IF(G194/E194&gt;0.06,"High Risk","Normal")</f>
        <v>Normal</v>
      </c>
    </row>
    <row r="195" spans="1:13" x14ac:dyDescent="0.3">
      <c r="A195" t="s">
        <v>33</v>
      </c>
      <c r="B195" t="s">
        <v>47</v>
      </c>
      <c r="C195" s="4">
        <v>45851</v>
      </c>
      <c r="D195" t="s">
        <v>20</v>
      </c>
      <c r="E195">
        <v>8700</v>
      </c>
      <c r="F195">
        <v>7325</v>
      </c>
      <c r="G195">
        <v>543</v>
      </c>
      <c r="H195">
        <v>234</v>
      </c>
      <c r="I195">
        <f>Table2[[#This Row],[Total_Units]]-Table2[[#This Row],[Successful_Output]]-Table2[[#This Row],[Mortality_Count]]-Table2[[#This Row],[Contamination_Count]]</f>
        <v>598</v>
      </c>
      <c r="J195" s="6">
        <f>F195/E195</f>
        <v>0.84195402298850575</v>
      </c>
      <c r="K195" s="6">
        <f>G195/E195</f>
        <v>6.2413793103448273E-2</v>
      </c>
      <c r="L195" s="6">
        <f>H195/E195</f>
        <v>2.6896551724137931E-2</v>
      </c>
      <c r="M195" t="str">
        <f>IF(G195/E195&gt;0.06,"High Risk","Normal")</f>
        <v>High Risk</v>
      </c>
    </row>
    <row r="196" spans="1:13" x14ac:dyDescent="0.3">
      <c r="A196" t="s">
        <v>33</v>
      </c>
      <c r="B196" t="s">
        <v>48</v>
      </c>
      <c r="C196" s="4">
        <v>45852</v>
      </c>
      <c r="D196" t="s">
        <v>20</v>
      </c>
      <c r="E196">
        <v>11156</v>
      </c>
      <c r="F196">
        <v>8373</v>
      </c>
      <c r="G196">
        <v>552</v>
      </c>
      <c r="H196">
        <v>270</v>
      </c>
      <c r="I196">
        <f>Table2[[#This Row],[Total_Units]]-Table2[[#This Row],[Successful_Output]]-Table2[[#This Row],[Mortality_Count]]-Table2[[#This Row],[Contamination_Count]]</f>
        <v>1961</v>
      </c>
      <c r="J196" s="6">
        <f>F196/E196</f>
        <v>0.75053782717820006</v>
      </c>
      <c r="K196" s="6">
        <f>G196/E196</f>
        <v>4.9480100394406597E-2</v>
      </c>
      <c r="L196" s="6">
        <f>H196/E196</f>
        <v>2.4202223019003228E-2</v>
      </c>
      <c r="M196" t="str">
        <f>IF(G196/E196&gt;0.06,"High Risk","Normal")</f>
        <v>Normal</v>
      </c>
    </row>
    <row r="197" spans="1:13" x14ac:dyDescent="0.3">
      <c r="A197" t="s">
        <v>33</v>
      </c>
      <c r="B197" t="s">
        <v>54</v>
      </c>
      <c r="C197" s="4">
        <v>45853</v>
      </c>
      <c r="D197" t="s">
        <v>20</v>
      </c>
      <c r="E197">
        <v>10298</v>
      </c>
      <c r="F197">
        <v>9306</v>
      </c>
      <c r="G197">
        <v>334</v>
      </c>
      <c r="H197">
        <v>282</v>
      </c>
      <c r="I197">
        <f>Table2[[#This Row],[Total_Units]]-Table2[[#This Row],[Successful_Output]]-Table2[[#This Row],[Mortality_Count]]-Table2[[#This Row],[Contamination_Count]]</f>
        <v>376</v>
      </c>
      <c r="J197" s="6">
        <f>F197/E197</f>
        <v>0.90367061565352491</v>
      </c>
      <c r="K197" s="6">
        <f>G197/E197</f>
        <v>3.2433482229559135E-2</v>
      </c>
      <c r="L197" s="6">
        <f>H197/E197</f>
        <v>2.7383958050106818E-2</v>
      </c>
      <c r="M197" t="str">
        <f>IF(G197/E197&gt;0.06,"High Risk","Normal")</f>
        <v>Normal</v>
      </c>
    </row>
    <row r="198" spans="1:13" x14ac:dyDescent="0.3">
      <c r="A198" t="s">
        <v>33</v>
      </c>
      <c r="B198" t="s">
        <v>58</v>
      </c>
      <c r="C198" s="4">
        <v>45854</v>
      </c>
      <c r="D198" t="s">
        <v>20</v>
      </c>
      <c r="E198">
        <v>9054</v>
      </c>
      <c r="F198">
        <v>8304</v>
      </c>
      <c r="G198">
        <v>549</v>
      </c>
      <c r="H198">
        <v>184</v>
      </c>
      <c r="I198">
        <f>Table2[[#This Row],[Total_Units]]-Table2[[#This Row],[Successful_Output]]-Table2[[#This Row],[Mortality_Count]]-Table2[[#This Row],[Contamination_Count]]</f>
        <v>17</v>
      </c>
      <c r="J198" s="6">
        <f>F198/E198</f>
        <v>0.91716368455931085</v>
      </c>
      <c r="K198" s="6">
        <f>G198/E198</f>
        <v>6.063618290258449E-2</v>
      </c>
      <c r="L198" s="6">
        <f>H198/E198</f>
        <v>2.032250938811575E-2</v>
      </c>
      <c r="M198" t="str">
        <f>IF(G198/E198&gt;0.06,"High Risk","Normal")</f>
        <v>High Risk</v>
      </c>
    </row>
    <row r="199" spans="1:13" x14ac:dyDescent="0.3">
      <c r="A199" t="s">
        <v>33</v>
      </c>
      <c r="B199" t="s">
        <v>59</v>
      </c>
      <c r="C199" s="4">
        <v>45855</v>
      </c>
      <c r="D199" t="s">
        <v>20</v>
      </c>
      <c r="E199">
        <v>8083</v>
      </c>
      <c r="F199">
        <v>6513</v>
      </c>
      <c r="G199">
        <v>287</v>
      </c>
      <c r="H199">
        <v>170</v>
      </c>
      <c r="I199">
        <f>Table2[[#This Row],[Total_Units]]-Table2[[#This Row],[Successful_Output]]-Table2[[#This Row],[Mortality_Count]]-Table2[[#This Row],[Contamination_Count]]</f>
        <v>1113</v>
      </c>
      <c r="J199" s="6">
        <f>F199/E199</f>
        <v>0.80576518619324511</v>
      </c>
      <c r="K199" s="6">
        <f>G199/E199</f>
        <v>3.5506618829642463E-2</v>
      </c>
      <c r="L199" s="6">
        <f>H199/E199</f>
        <v>2.1031795125572187E-2</v>
      </c>
      <c r="M199" t="str">
        <f>IF(G199/E199&gt;0.06,"High Risk","Normal")</f>
        <v>Normal</v>
      </c>
    </row>
    <row r="200" spans="1:13" x14ac:dyDescent="0.3">
      <c r="A200" t="s">
        <v>33</v>
      </c>
      <c r="B200" t="s">
        <v>56</v>
      </c>
      <c r="C200" s="4">
        <v>45856</v>
      </c>
      <c r="D200" t="s">
        <v>20</v>
      </c>
      <c r="E200">
        <v>9205</v>
      </c>
      <c r="F200">
        <v>8336</v>
      </c>
      <c r="G200">
        <v>536</v>
      </c>
      <c r="H200">
        <v>189</v>
      </c>
      <c r="I200">
        <f>Table2[[#This Row],[Total_Units]]-Table2[[#This Row],[Successful_Output]]-Table2[[#This Row],[Mortality_Count]]-Table2[[#This Row],[Contamination_Count]]</f>
        <v>144</v>
      </c>
      <c r="J200" s="6">
        <f>F200/E200</f>
        <v>0.90559478544269423</v>
      </c>
      <c r="K200" s="6">
        <f>G200/E200</f>
        <v>5.8229223248234652E-2</v>
      </c>
      <c r="L200" s="6">
        <f>H200/E200</f>
        <v>2.0532319391634982E-2</v>
      </c>
      <c r="M200" t="str">
        <f>IF(G200/E200&gt;0.06,"High Risk","Normal")</f>
        <v>Normal</v>
      </c>
    </row>
    <row r="201" spans="1:13" x14ac:dyDescent="0.3">
      <c r="A201" t="s">
        <v>33</v>
      </c>
      <c r="B201" t="s">
        <v>60</v>
      </c>
      <c r="C201" s="4">
        <v>45857</v>
      </c>
      <c r="D201" t="s">
        <v>20</v>
      </c>
      <c r="E201">
        <v>8308</v>
      </c>
      <c r="F201">
        <v>6265</v>
      </c>
      <c r="G201">
        <v>352</v>
      </c>
      <c r="H201">
        <v>72</v>
      </c>
      <c r="I201">
        <f>Table2[[#This Row],[Total_Units]]-Table2[[#This Row],[Successful_Output]]-Table2[[#This Row],[Mortality_Count]]-Table2[[#This Row],[Contamination_Count]]</f>
        <v>1619</v>
      </c>
      <c r="J201" s="6">
        <f>F201/E201</f>
        <v>0.75409244102070294</v>
      </c>
      <c r="K201" s="6">
        <f>G201/E201</f>
        <v>4.236880115551276E-2</v>
      </c>
      <c r="L201" s="6">
        <f>H201/E201</f>
        <v>8.6663456909003376E-3</v>
      </c>
      <c r="M201" t="str">
        <f>IF(G201/E201&gt;0.06,"High Risk","Normal")</f>
        <v>Normal</v>
      </c>
    </row>
    <row r="202" spans="1:13" x14ac:dyDescent="0.3">
      <c r="A202" t="s">
        <v>33</v>
      </c>
      <c r="B202" t="s">
        <v>61</v>
      </c>
      <c r="C202" s="4">
        <v>45858</v>
      </c>
      <c r="D202" t="s">
        <v>20</v>
      </c>
      <c r="E202">
        <v>9913</v>
      </c>
      <c r="F202">
        <v>7616</v>
      </c>
      <c r="G202">
        <v>616</v>
      </c>
      <c r="H202">
        <v>171</v>
      </c>
      <c r="I202">
        <f>Table2[[#This Row],[Total_Units]]-Table2[[#This Row],[Successful_Output]]-Table2[[#This Row],[Mortality_Count]]-Table2[[#This Row],[Contamination_Count]]</f>
        <v>1510</v>
      </c>
      <c r="J202" s="6">
        <f>F202/E202</f>
        <v>0.7682840714213659</v>
      </c>
      <c r="K202" s="6">
        <f>G202/E202</f>
        <v>6.2140623423786949E-2</v>
      </c>
      <c r="L202" s="6">
        <f>H202/E202</f>
        <v>1.7250075658226571E-2</v>
      </c>
      <c r="M202" t="str">
        <f>IF(G202/E202&gt;0.06,"High Risk","Normal")</f>
        <v>High Risk</v>
      </c>
    </row>
    <row r="203" spans="1:13" x14ac:dyDescent="0.3">
      <c r="A203" t="s">
        <v>33</v>
      </c>
      <c r="B203" t="s">
        <v>57</v>
      </c>
      <c r="C203" s="4">
        <v>45859</v>
      </c>
      <c r="D203" t="s">
        <v>20</v>
      </c>
      <c r="E203">
        <v>11450</v>
      </c>
      <c r="F203">
        <v>9944</v>
      </c>
      <c r="G203">
        <v>352</v>
      </c>
      <c r="H203">
        <v>337</v>
      </c>
      <c r="I203">
        <f>Table2[[#This Row],[Total_Units]]-Table2[[#This Row],[Successful_Output]]-Table2[[#This Row],[Mortality_Count]]-Table2[[#This Row],[Contamination_Count]]</f>
        <v>817</v>
      </c>
      <c r="J203" s="6">
        <f>F203/E203</f>
        <v>0.868471615720524</v>
      </c>
      <c r="K203" s="6">
        <f>G203/E203</f>
        <v>3.0742358078602622E-2</v>
      </c>
      <c r="L203" s="6">
        <f>H203/E203</f>
        <v>2.9432314410480349E-2</v>
      </c>
      <c r="M203" t="str">
        <f>IF(G203/E203&gt;0.06,"High Risk","Normal")</f>
        <v>Normal</v>
      </c>
    </row>
    <row r="204" spans="1:13" x14ac:dyDescent="0.3">
      <c r="A204" t="s">
        <v>33</v>
      </c>
      <c r="B204" t="s">
        <v>62</v>
      </c>
      <c r="C204" s="4">
        <v>45860</v>
      </c>
      <c r="D204" t="s">
        <v>20</v>
      </c>
      <c r="E204">
        <v>11831</v>
      </c>
      <c r="F204">
        <v>10365</v>
      </c>
      <c r="G204">
        <v>698</v>
      </c>
      <c r="H204">
        <v>229</v>
      </c>
      <c r="I204">
        <f>Table2[[#This Row],[Total_Units]]-Table2[[#This Row],[Successful_Output]]-Table2[[#This Row],[Mortality_Count]]-Table2[[#This Row],[Contamination_Count]]</f>
        <v>539</v>
      </c>
      <c r="J204" s="6">
        <f>F204/E204</f>
        <v>0.87608824275209196</v>
      </c>
      <c r="K204" s="6">
        <f>G204/E204</f>
        <v>5.8997548812441888E-2</v>
      </c>
      <c r="L204" s="6">
        <f>H204/E204</f>
        <v>1.935592933817936E-2</v>
      </c>
      <c r="M204" t="str">
        <f>IF(G204/E204&gt;0.06,"High Risk","Normal")</f>
        <v>Normal</v>
      </c>
    </row>
    <row r="205" spans="1:13" x14ac:dyDescent="0.3">
      <c r="A205" t="s">
        <v>33</v>
      </c>
      <c r="B205" t="s">
        <v>63</v>
      </c>
      <c r="C205" s="4">
        <v>45861</v>
      </c>
      <c r="D205" t="s">
        <v>20</v>
      </c>
      <c r="E205">
        <v>9083</v>
      </c>
      <c r="F205">
        <v>8086</v>
      </c>
      <c r="G205">
        <v>445</v>
      </c>
      <c r="H205">
        <v>233</v>
      </c>
      <c r="I205">
        <f>Table2[[#This Row],[Total_Units]]-Table2[[#This Row],[Successful_Output]]-Table2[[#This Row],[Mortality_Count]]-Table2[[#This Row],[Contamination_Count]]</f>
        <v>319</v>
      </c>
      <c r="J205" s="6">
        <f>F205/E205</f>
        <v>0.89023450401849613</v>
      </c>
      <c r="K205" s="6">
        <f>G205/E205</f>
        <v>4.8992623582516791E-2</v>
      </c>
      <c r="L205" s="6">
        <f>H205/E205</f>
        <v>2.5652317516239129E-2</v>
      </c>
      <c r="M205" t="str">
        <f>IF(G205/E205&gt;0.06,"High Risk","Normal")</f>
        <v>Normal</v>
      </c>
    </row>
    <row r="206" spans="1:13" x14ac:dyDescent="0.3">
      <c r="A206" t="s">
        <v>33</v>
      </c>
      <c r="B206" t="s">
        <v>55</v>
      </c>
      <c r="C206" s="4">
        <v>45862</v>
      </c>
      <c r="D206" t="s">
        <v>20</v>
      </c>
      <c r="E206">
        <v>8892</v>
      </c>
      <c r="F206">
        <v>8048</v>
      </c>
      <c r="G206">
        <v>318</v>
      </c>
      <c r="H206">
        <v>208</v>
      </c>
      <c r="I206">
        <f>Table2[[#This Row],[Total_Units]]-Table2[[#This Row],[Successful_Output]]-Table2[[#This Row],[Mortality_Count]]-Table2[[#This Row],[Contamination_Count]]</f>
        <v>318</v>
      </c>
      <c r="J206" s="6">
        <f>F206/E206</f>
        <v>0.90508322087269455</v>
      </c>
      <c r="K206" s="6">
        <f>G206/E206</f>
        <v>3.5762483130904181E-2</v>
      </c>
      <c r="L206" s="6">
        <f>H206/E206</f>
        <v>2.3391812865497075E-2</v>
      </c>
      <c r="M206" t="str">
        <f>IF(G206/E206&gt;0.06,"High Risk","Normal")</f>
        <v>Normal</v>
      </c>
    </row>
    <row r="207" spans="1:13" x14ac:dyDescent="0.3">
      <c r="A207" t="s">
        <v>33</v>
      </c>
      <c r="B207" t="s">
        <v>64</v>
      </c>
      <c r="C207" s="4">
        <v>45863</v>
      </c>
      <c r="D207" t="s">
        <v>20</v>
      </c>
      <c r="E207">
        <v>9248</v>
      </c>
      <c r="F207">
        <v>7668</v>
      </c>
      <c r="G207">
        <v>185</v>
      </c>
      <c r="H207">
        <v>75</v>
      </c>
      <c r="I207">
        <f>Table2[[#This Row],[Total_Units]]-Table2[[#This Row],[Successful_Output]]-Table2[[#This Row],[Mortality_Count]]-Table2[[#This Row],[Contamination_Count]]</f>
        <v>1320</v>
      </c>
      <c r="J207" s="6">
        <f>F207/E207</f>
        <v>0.82915224913494812</v>
      </c>
      <c r="K207" s="6">
        <f>G207/E207</f>
        <v>2.0004325259515572E-2</v>
      </c>
      <c r="L207" s="6">
        <f>H207/E207</f>
        <v>8.1098615916955011E-3</v>
      </c>
      <c r="M207" t="str">
        <f>IF(G207/E207&gt;0.06,"High Risk","Normal")</f>
        <v>Normal</v>
      </c>
    </row>
    <row r="208" spans="1:13" x14ac:dyDescent="0.3">
      <c r="A208" t="s">
        <v>33</v>
      </c>
      <c r="B208" t="s">
        <v>65</v>
      </c>
      <c r="C208" s="4">
        <v>45864</v>
      </c>
      <c r="D208" t="s">
        <v>20</v>
      </c>
      <c r="E208">
        <v>9670</v>
      </c>
      <c r="F208">
        <v>8650</v>
      </c>
      <c r="G208">
        <v>647</v>
      </c>
      <c r="H208">
        <v>122</v>
      </c>
      <c r="I208">
        <f>Table2[[#This Row],[Total_Units]]-Table2[[#This Row],[Successful_Output]]-Table2[[#This Row],[Mortality_Count]]-Table2[[#This Row],[Contamination_Count]]</f>
        <v>251</v>
      </c>
      <c r="J208" s="6">
        <f>F208/E208</f>
        <v>0.89451913133402272</v>
      </c>
      <c r="K208" s="6">
        <f>G208/E208</f>
        <v>6.6907962771458121E-2</v>
      </c>
      <c r="L208" s="6">
        <f>H208/E208</f>
        <v>1.2616339193381593E-2</v>
      </c>
      <c r="M208" t="str">
        <f>IF(G208/E208&gt;0.06,"High Risk","Normal")</f>
        <v>High Risk</v>
      </c>
    </row>
    <row r="209" spans="1:13" x14ac:dyDescent="0.3">
      <c r="A209" t="s">
        <v>33</v>
      </c>
      <c r="B209" t="s">
        <v>53</v>
      </c>
      <c r="C209" s="4">
        <v>45865</v>
      </c>
      <c r="D209" t="s">
        <v>20</v>
      </c>
      <c r="E209">
        <v>8073</v>
      </c>
      <c r="F209">
        <v>7139</v>
      </c>
      <c r="G209">
        <v>322</v>
      </c>
      <c r="H209">
        <v>195</v>
      </c>
      <c r="I209">
        <f>Table2[[#This Row],[Total_Units]]-Table2[[#This Row],[Successful_Output]]-Table2[[#This Row],[Mortality_Count]]-Table2[[#This Row],[Contamination_Count]]</f>
        <v>417</v>
      </c>
      <c r="J209" s="6">
        <f>F209/E209</f>
        <v>0.88430571039266692</v>
      </c>
      <c r="K209" s="6">
        <f>G209/E209</f>
        <v>3.9886039886039885E-2</v>
      </c>
      <c r="L209" s="6">
        <f>H209/E209</f>
        <v>2.4154589371980676E-2</v>
      </c>
      <c r="M209" t="str">
        <f>IF(G209/E209&gt;0.06,"High Risk","Normal")</f>
        <v>Normal</v>
      </c>
    </row>
    <row r="210" spans="1:13" x14ac:dyDescent="0.3">
      <c r="A210" t="s">
        <v>33</v>
      </c>
      <c r="B210" t="s">
        <v>66</v>
      </c>
      <c r="C210" s="4">
        <v>45866</v>
      </c>
      <c r="D210" t="s">
        <v>20</v>
      </c>
      <c r="E210">
        <v>10795</v>
      </c>
      <c r="F210">
        <v>8417</v>
      </c>
      <c r="G210">
        <v>310</v>
      </c>
      <c r="H210">
        <v>304</v>
      </c>
      <c r="I210">
        <f>Table2[[#This Row],[Total_Units]]-Table2[[#This Row],[Successful_Output]]-Table2[[#This Row],[Mortality_Count]]-Table2[[#This Row],[Contamination_Count]]</f>
        <v>1764</v>
      </c>
      <c r="J210" s="6">
        <f>F210/E210</f>
        <v>0.77971283001389535</v>
      </c>
      <c r="K210" s="6">
        <f>G210/E210</f>
        <v>2.8716998610467809E-2</v>
      </c>
      <c r="L210" s="6">
        <f>H210/E210</f>
        <v>2.8161185734136174E-2</v>
      </c>
      <c r="M210" t="str">
        <f>IF(G210/E210&gt;0.06,"High Risk","Normal")</f>
        <v>Normal</v>
      </c>
    </row>
    <row r="211" spans="1:13" x14ac:dyDescent="0.3">
      <c r="A211" t="s">
        <v>33</v>
      </c>
      <c r="B211" t="s">
        <v>67</v>
      </c>
      <c r="C211" s="4">
        <v>45867</v>
      </c>
      <c r="D211" t="s">
        <v>20</v>
      </c>
      <c r="E211">
        <v>11840</v>
      </c>
      <c r="F211">
        <v>9053</v>
      </c>
      <c r="G211">
        <v>736</v>
      </c>
      <c r="H211">
        <v>98</v>
      </c>
      <c r="I211">
        <f>Table2[[#This Row],[Total_Units]]-Table2[[#This Row],[Successful_Output]]-Table2[[#This Row],[Mortality_Count]]-Table2[[#This Row],[Contamination_Count]]</f>
        <v>1953</v>
      </c>
      <c r="J211" s="6">
        <f>F211/E211</f>
        <v>0.76461148648648647</v>
      </c>
      <c r="K211" s="6">
        <f>G211/E211</f>
        <v>6.2162162162162166E-2</v>
      </c>
      <c r="L211" s="6">
        <f>H211/E211</f>
        <v>8.2770270270270275E-3</v>
      </c>
      <c r="M211" t="str">
        <f>IF(G211/E211&gt;0.06,"High Risk","Normal")</f>
        <v>High Risk</v>
      </c>
    </row>
    <row r="212" spans="1:13" x14ac:dyDescent="0.3">
      <c r="A212" t="s">
        <v>33</v>
      </c>
      <c r="B212" t="s">
        <v>68</v>
      </c>
      <c r="C212" s="4">
        <v>45868</v>
      </c>
      <c r="D212" t="s">
        <v>20</v>
      </c>
      <c r="E212">
        <v>10478</v>
      </c>
      <c r="F212">
        <v>8730</v>
      </c>
      <c r="G212">
        <v>525</v>
      </c>
      <c r="H212">
        <v>285</v>
      </c>
      <c r="I212">
        <f>Table2[[#This Row],[Total_Units]]-Table2[[#This Row],[Successful_Output]]-Table2[[#This Row],[Mortality_Count]]-Table2[[#This Row],[Contamination_Count]]</f>
        <v>938</v>
      </c>
      <c r="J212" s="6">
        <f>F212/E212</f>
        <v>0.8331742698988357</v>
      </c>
      <c r="K212" s="6">
        <f>G212/E212</f>
        <v>5.0104981866768469E-2</v>
      </c>
      <c r="L212" s="6">
        <f>H212/E212</f>
        <v>2.7199847299102881E-2</v>
      </c>
      <c r="M212" t="str">
        <f>IF(G212/E212&gt;0.06,"High Risk","Normal")</f>
        <v>Normal</v>
      </c>
    </row>
    <row r="213" spans="1:13" x14ac:dyDescent="0.3">
      <c r="A213" t="s">
        <v>33</v>
      </c>
      <c r="B213" t="s">
        <v>69</v>
      </c>
      <c r="C213" s="4">
        <v>45869</v>
      </c>
      <c r="D213" t="s">
        <v>20</v>
      </c>
      <c r="E213">
        <v>9542</v>
      </c>
      <c r="F213">
        <v>8655</v>
      </c>
      <c r="G213">
        <v>452</v>
      </c>
      <c r="H213">
        <v>58</v>
      </c>
      <c r="I213">
        <f>Table2[[#This Row],[Total_Units]]-Table2[[#This Row],[Successful_Output]]-Table2[[#This Row],[Mortality_Count]]-Table2[[#This Row],[Contamination_Count]]</f>
        <v>377</v>
      </c>
      <c r="J213" s="6">
        <f>F213/E213</f>
        <v>0.90704254873192203</v>
      </c>
      <c r="K213" s="6">
        <f>G213/E213</f>
        <v>4.7369524208761268E-2</v>
      </c>
      <c r="L213" s="6">
        <f>H213/E213</f>
        <v>6.0783902745755606E-3</v>
      </c>
      <c r="M213" t="str">
        <f>IF(G213/E213&gt;0.06,"High Risk","Normal")</f>
        <v>Normal</v>
      </c>
    </row>
    <row r="214" spans="1:13" x14ac:dyDescent="0.3">
      <c r="A214" t="s">
        <v>34</v>
      </c>
      <c r="B214" t="s">
        <v>39</v>
      </c>
      <c r="C214" s="4">
        <v>45870</v>
      </c>
      <c r="D214" t="s">
        <v>21</v>
      </c>
      <c r="E214">
        <v>11461</v>
      </c>
      <c r="F214">
        <v>8861</v>
      </c>
      <c r="G214">
        <v>597</v>
      </c>
      <c r="H214">
        <v>98</v>
      </c>
      <c r="I214">
        <f>Table2[[#This Row],[Total_Units]]-Table2[[#This Row],[Successful_Output]]-Table2[[#This Row],[Mortality_Count]]-Table2[[#This Row],[Contamination_Count]]</f>
        <v>1905</v>
      </c>
      <c r="J214" s="6">
        <f>F214/E214</f>
        <v>0.77314370473780647</v>
      </c>
      <c r="K214" s="6">
        <f>G214/E214</f>
        <v>5.208969548904982E-2</v>
      </c>
      <c r="L214" s="6">
        <f>H214/E214</f>
        <v>8.5507372829596029E-3</v>
      </c>
      <c r="M214" t="str">
        <f>IF(G214/E214&gt;0.06,"High Risk","Normal")</f>
        <v>Normal</v>
      </c>
    </row>
    <row r="215" spans="1:13" x14ac:dyDescent="0.3">
      <c r="A215" t="s">
        <v>34</v>
      </c>
      <c r="B215" t="s">
        <v>40</v>
      </c>
      <c r="C215" s="4">
        <v>45871</v>
      </c>
      <c r="D215" t="s">
        <v>21</v>
      </c>
      <c r="E215">
        <v>11503</v>
      </c>
      <c r="F215">
        <v>9189</v>
      </c>
      <c r="G215">
        <v>866</v>
      </c>
      <c r="H215">
        <v>188</v>
      </c>
      <c r="I215">
        <f>Table2[[#This Row],[Total_Units]]-Table2[[#This Row],[Successful_Output]]-Table2[[#This Row],[Mortality_Count]]-Table2[[#This Row],[Contamination_Count]]</f>
        <v>1260</v>
      </c>
      <c r="J215" s="6">
        <f>F215/E215</f>
        <v>0.79883508649917412</v>
      </c>
      <c r="K215" s="6">
        <f>G215/E215</f>
        <v>7.528470833695558E-2</v>
      </c>
      <c r="L215" s="6">
        <f>H215/E215</f>
        <v>1.6343562548900285E-2</v>
      </c>
      <c r="M215" t="str">
        <f>IF(G215/E215&gt;0.06,"High Risk","Normal")</f>
        <v>High Risk</v>
      </c>
    </row>
    <row r="216" spans="1:13" x14ac:dyDescent="0.3">
      <c r="A216" t="s">
        <v>34</v>
      </c>
      <c r="B216" t="s">
        <v>49</v>
      </c>
      <c r="C216" s="4">
        <v>45872</v>
      </c>
      <c r="D216" t="s">
        <v>21</v>
      </c>
      <c r="E216">
        <v>8972</v>
      </c>
      <c r="F216">
        <v>6893</v>
      </c>
      <c r="G216">
        <v>346</v>
      </c>
      <c r="H216">
        <v>149</v>
      </c>
      <c r="I216">
        <f>Table2[[#This Row],[Total_Units]]-Table2[[#This Row],[Successful_Output]]-Table2[[#This Row],[Mortality_Count]]-Table2[[#This Row],[Contamination_Count]]</f>
        <v>1584</v>
      </c>
      <c r="J216" s="6">
        <f>F216/E216</f>
        <v>0.76827909050378962</v>
      </c>
      <c r="K216" s="6">
        <f>G216/E216</f>
        <v>3.8564422648238963E-2</v>
      </c>
      <c r="L216" s="6">
        <f>H216/E216</f>
        <v>1.6607222469906376E-2</v>
      </c>
      <c r="M216" t="str">
        <f>IF(G216/E216&gt;0.06,"High Risk","Normal")</f>
        <v>Normal</v>
      </c>
    </row>
    <row r="217" spans="1:13" x14ac:dyDescent="0.3">
      <c r="A217" t="s">
        <v>34</v>
      </c>
      <c r="B217" t="s">
        <v>41</v>
      </c>
      <c r="C217" s="4">
        <v>45873</v>
      </c>
      <c r="D217" t="s">
        <v>21</v>
      </c>
      <c r="E217">
        <v>11320</v>
      </c>
      <c r="F217">
        <v>8677</v>
      </c>
      <c r="G217">
        <v>485</v>
      </c>
      <c r="H217">
        <v>193</v>
      </c>
      <c r="I217">
        <f>Table2[[#This Row],[Total_Units]]-Table2[[#This Row],[Successful_Output]]-Table2[[#This Row],[Mortality_Count]]-Table2[[#This Row],[Contamination_Count]]</f>
        <v>1965</v>
      </c>
      <c r="J217" s="6">
        <f>F217/E217</f>
        <v>0.76651943462897532</v>
      </c>
      <c r="K217" s="6">
        <f>G217/E217</f>
        <v>4.2844522968197879E-2</v>
      </c>
      <c r="L217" s="6">
        <f>H217/E217</f>
        <v>1.7049469964664311E-2</v>
      </c>
      <c r="M217" t="str">
        <f>IF(G217/E217&gt;0.06,"High Risk","Normal")</f>
        <v>Normal</v>
      </c>
    </row>
    <row r="218" spans="1:13" x14ac:dyDescent="0.3">
      <c r="A218" t="s">
        <v>34</v>
      </c>
      <c r="B218" t="s">
        <v>42</v>
      </c>
      <c r="C218" s="4">
        <v>45874</v>
      </c>
      <c r="D218" t="s">
        <v>21</v>
      </c>
      <c r="E218">
        <v>8907</v>
      </c>
      <c r="F218">
        <v>8089</v>
      </c>
      <c r="G218">
        <v>234</v>
      </c>
      <c r="H218">
        <v>211</v>
      </c>
      <c r="I218">
        <f>Table2[[#This Row],[Total_Units]]-Table2[[#This Row],[Successful_Output]]-Table2[[#This Row],[Mortality_Count]]-Table2[[#This Row],[Contamination_Count]]</f>
        <v>373</v>
      </c>
      <c r="J218" s="6">
        <f>F218/E218</f>
        <v>0.90816211968114968</v>
      </c>
      <c r="K218" s="6">
        <f>G218/E218</f>
        <v>2.6271471876052544E-2</v>
      </c>
      <c r="L218" s="6">
        <f>H218/E218</f>
        <v>2.3689233187380712E-2</v>
      </c>
      <c r="M218" t="str">
        <f>IF(G218/E218&gt;0.06,"High Risk","Normal")</f>
        <v>Normal</v>
      </c>
    </row>
    <row r="219" spans="1:13" x14ac:dyDescent="0.3">
      <c r="A219" t="s">
        <v>34</v>
      </c>
      <c r="B219" t="s">
        <v>50</v>
      </c>
      <c r="C219" s="4">
        <v>45875</v>
      </c>
      <c r="D219" t="s">
        <v>21</v>
      </c>
      <c r="E219">
        <v>8345</v>
      </c>
      <c r="F219">
        <v>6688</v>
      </c>
      <c r="G219">
        <v>607</v>
      </c>
      <c r="H219">
        <v>116</v>
      </c>
      <c r="I219">
        <f>Table2[[#This Row],[Total_Units]]-Table2[[#This Row],[Successful_Output]]-Table2[[#This Row],[Mortality_Count]]-Table2[[#This Row],[Contamination_Count]]</f>
        <v>934</v>
      </c>
      <c r="J219" s="6">
        <f>F219/E219</f>
        <v>0.80143798681845413</v>
      </c>
      <c r="K219" s="6">
        <f>G219/E219</f>
        <v>7.273816656680647E-2</v>
      </c>
      <c r="L219" s="6">
        <f>H219/E219</f>
        <v>1.3900539245056921E-2</v>
      </c>
      <c r="M219" t="str">
        <f>IF(G219/E219&gt;0.06,"High Risk","Normal")</f>
        <v>High Risk</v>
      </c>
    </row>
    <row r="220" spans="1:13" x14ac:dyDescent="0.3">
      <c r="A220" t="s">
        <v>34</v>
      </c>
      <c r="B220" t="s">
        <v>43</v>
      </c>
      <c r="C220" s="4">
        <v>45876</v>
      </c>
      <c r="D220" t="s">
        <v>21</v>
      </c>
      <c r="E220">
        <v>10384</v>
      </c>
      <c r="F220">
        <v>8931</v>
      </c>
      <c r="G220">
        <v>382</v>
      </c>
      <c r="H220">
        <v>218</v>
      </c>
      <c r="I220">
        <f>Table2[[#This Row],[Total_Units]]-Table2[[#This Row],[Successful_Output]]-Table2[[#This Row],[Mortality_Count]]-Table2[[#This Row],[Contamination_Count]]</f>
        <v>853</v>
      </c>
      <c r="J220" s="6">
        <f>F220/E220</f>
        <v>0.86007318952234202</v>
      </c>
      <c r="K220" s="6">
        <f>G220/E220</f>
        <v>3.6787365177195684E-2</v>
      </c>
      <c r="L220" s="6">
        <f>H220/E220</f>
        <v>2.0993836671802775E-2</v>
      </c>
      <c r="M220" t="str">
        <f>IF(G220/E220&gt;0.06,"High Risk","Normal")</f>
        <v>Normal</v>
      </c>
    </row>
    <row r="221" spans="1:13" x14ac:dyDescent="0.3">
      <c r="A221" t="s">
        <v>34</v>
      </c>
      <c r="B221" t="s">
        <v>44</v>
      </c>
      <c r="C221" s="4">
        <v>45877</v>
      </c>
      <c r="D221" t="s">
        <v>21</v>
      </c>
      <c r="E221">
        <v>11739</v>
      </c>
      <c r="F221">
        <v>10332</v>
      </c>
      <c r="G221">
        <v>802</v>
      </c>
      <c r="H221">
        <v>292</v>
      </c>
      <c r="I221">
        <f>Table2[[#This Row],[Total_Units]]-Table2[[#This Row],[Successful_Output]]-Table2[[#This Row],[Mortality_Count]]-Table2[[#This Row],[Contamination_Count]]</f>
        <v>313</v>
      </c>
      <c r="J221" s="6">
        <f>F221/E221</f>
        <v>0.88014311270125223</v>
      </c>
      <c r="K221" s="6">
        <f>G221/E221</f>
        <v>6.8319277621603197E-2</v>
      </c>
      <c r="L221" s="6">
        <f>H221/E221</f>
        <v>2.4874350455745806E-2</v>
      </c>
      <c r="M221" t="str">
        <f>IF(G221/E221&gt;0.06,"High Risk","Normal")</f>
        <v>High Risk</v>
      </c>
    </row>
    <row r="222" spans="1:13" x14ac:dyDescent="0.3">
      <c r="A222" t="s">
        <v>34</v>
      </c>
      <c r="B222" t="s">
        <v>51</v>
      </c>
      <c r="C222" s="4">
        <v>45878</v>
      </c>
      <c r="D222" t="s">
        <v>21</v>
      </c>
      <c r="E222">
        <v>8854</v>
      </c>
      <c r="F222">
        <v>6725</v>
      </c>
      <c r="G222">
        <v>417</v>
      </c>
      <c r="H222">
        <v>157</v>
      </c>
      <c r="I222">
        <f>Table2[[#This Row],[Total_Units]]-Table2[[#This Row],[Successful_Output]]-Table2[[#This Row],[Mortality_Count]]-Table2[[#This Row],[Contamination_Count]]</f>
        <v>1555</v>
      </c>
      <c r="J222" s="6">
        <f>F222/E222</f>
        <v>0.75954370905805291</v>
      </c>
      <c r="K222" s="6">
        <f>G222/E222</f>
        <v>4.7097357126722382E-2</v>
      </c>
      <c r="L222" s="6">
        <f>H222/E222</f>
        <v>1.7732098486559746E-2</v>
      </c>
      <c r="M222" t="str">
        <f>IF(G222/E222&gt;0.06,"High Risk","Normal")</f>
        <v>Normal</v>
      </c>
    </row>
    <row r="223" spans="1:13" x14ac:dyDescent="0.3">
      <c r="A223" t="s">
        <v>34</v>
      </c>
      <c r="B223" t="s">
        <v>45</v>
      </c>
      <c r="C223" s="4">
        <v>45879</v>
      </c>
      <c r="D223" t="s">
        <v>21</v>
      </c>
      <c r="E223">
        <v>10862</v>
      </c>
      <c r="F223">
        <v>8882</v>
      </c>
      <c r="G223">
        <v>404</v>
      </c>
      <c r="H223">
        <v>117</v>
      </c>
      <c r="I223">
        <f>Table2[[#This Row],[Total_Units]]-Table2[[#This Row],[Successful_Output]]-Table2[[#This Row],[Mortality_Count]]-Table2[[#This Row],[Contamination_Count]]</f>
        <v>1459</v>
      </c>
      <c r="J223" s="6">
        <f>F223/E223</f>
        <v>0.81771312833732279</v>
      </c>
      <c r="K223" s="6">
        <f>G223/E223</f>
        <v>3.7193886945313941E-2</v>
      </c>
      <c r="L223" s="6">
        <f>H223/E223</f>
        <v>1.0771496961885473E-2</v>
      </c>
      <c r="M223" t="str">
        <f>IF(G223/E223&gt;0.06,"High Risk","Normal")</f>
        <v>Normal</v>
      </c>
    </row>
    <row r="224" spans="1:13" x14ac:dyDescent="0.3">
      <c r="A224" t="s">
        <v>34</v>
      </c>
      <c r="B224" t="s">
        <v>46</v>
      </c>
      <c r="C224" s="4">
        <v>45880</v>
      </c>
      <c r="D224" t="s">
        <v>21</v>
      </c>
      <c r="E224">
        <v>9178</v>
      </c>
      <c r="F224">
        <v>6892</v>
      </c>
      <c r="G224">
        <v>459</v>
      </c>
      <c r="H224">
        <v>78</v>
      </c>
      <c r="I224">
        <f>Table2[[#This Row],[Total_Units]]-Table2[[#This Row],[Successful_Output]]-Table2[[#This Row],[Mortality_Count]]-Table2[[#This Row],[Contamination_Count]]</f>
        <v>1749</v>
      </c>
      <c r="J224" s="6">
        <f>F224/E224</f>
        <v>0.75092612769666589</v>
      </c>
      <c r="K224" s="6">
        <f>G224/E224</f>
        <v>5.0010895619960777E-2</v>
      </c>
      <c r="L224" s="6">
        <f>H224/E224</f>
        <v>8.4985835694051E-3</v>
      </c>
      <c r="M224" t="str">
        <f>IF(G224/E224&gt;0.06,"High Risk","Normal")</f>
        <v>Normal</v>
      </c>
    </row>
    <row r="225" spans="1:13" x14ac:dyDescent="0.3">
      <c r="A225" t="s">
        <v>34</v>
      </c>
      <c r="B225" t="s">
        <v>52</v>
      </c>
      <c r="C225" s="4">
        <v>45881</v>
      </c>
      <c r="D225" t="s">
        <v>21</v>
      </c>
      <c r="E225">
        <v>11506</v>
      </c>
      <c r="F225">
        <v>8711</v>
      </c>
      <c r="G225">
        <v>275</v>
      </c>
      <c r="H225">
        <v>296</v>
      </c>
      <c r="I225">
        <f>Table2[[#This Row],[Total_Units]]-Table2[[#This Row],[Successful_Output]]-Table2[[#This Row],[Mortality_Count]]-Table2[[#This Row],[Contamination_Count]]</f>
        <v>2224</v>
      </c>
      <c r="J225" s="6">
        <f>F225/E225</f>
        <v>0.75708326090735267</v>
      </c>
      <c r="K225" s="6">
        <f>G225/E225</f>
        <v>2.390057361376673E-2</v>
      </c>
      <c r="L225" s="6">
        <f>H225/E225</f>
        <v>2.5725708326090734E-2</v>
      </c>
      <c r="M225" t="str">
        <f>IF(G225/E225&gt;0.06,"High Risk","Normal")</f>
        <v>Normal</v>
      </c>
    </row>
    <row r="226" spans="1:13" x14ac:dyDescent="0.3">
      <c r="A226" t="s">
        <v>34</v>
      </c>
      <c r="B226" t="s">
        <v>47</v>
      </c>
      <c r="C226" s="4">
        <v>45882</v>
      </c>
      <c r="D226" t="s">
        <v>21</v>
      </c>
      <c r="E226">
        <v>10908</v>
      </c>
      <c r="F226">
        <v>9378</v>
      </c>
      <c r="G226">
        <v>460</v>
      </c>
      <c r="H226">
        <v>204</v>
      </c>
      <c r="I226">
        <f>Table2[[#This Row],[Total_Units]]-Table2[[#This Row],[Successful_Output]]-Table2[[#This Row],[Mortality_Count]]-Table2[[#This Row],[Contamination_Count]]</f>
        <v>866</v>
      </c>
      <c r="J226" s="6">
        <f>F226/E226</f>
        <v>0.85973597359735976</v>
      </c>
      <c r="K226" s="6">
        <f>G226/E226</f>
        <v>4.2170883755042174E-2</v>
      </c>
      <c r="L226" s="6">
        <f>H226/E226</f>
        <v>1.8701870187018702E-2</v>
      </c>
      <c r="M226" t="str">
        <f>IF(G226/E226&gt;0.06,"High Risk","Normal")</f>
        <v>Normal</v>
      </c>
    </row>
    <row r="227" spans="1:13" x14ac:dyDescent="0.3">
      <c r="A227" t="s">
        <v>34</v>
      </c>
      <c r="B227" t="s">
        <v>48</v>
      </c>
      <c r="C227" s="4">
        <v>45883</v>
      </c>
      <c r="D227" t="s">
        <v>21</v>
      </c>
      <c r="E227">
        <v>11891</v>
      </c>
      <c r="F227">
        <v>10564</v>
      </c>
      <c r="G227">
        <v>582</v>
      </c>
      <c r="H227">
        <v>321</v>
      </c>
      <c r="I227">
        <f>Table2[[#This Row],[Total_Units]]-Table2[[#This Row],[Successful_Output]]-Table2[[#This Row],[Mortality_Count]]-Table2[[#This Row],[Contamination_Count]]</f>
        <v>424</v>
      </c>
      <c r="J227" s="6">
        <f>F227/E227</f>
        <v>0.88840299386090316</v>
      </c>
      <c r="K227" s="6">
        <f>G227/E227</f>
        <v>4.8944579934404174E-2</v>
      </c>
      <c r="L227" s="6">
        <f>H227/E227</f>
        <v>2.6995206458666217E-2</v>
      </c>
      <c r="M227" t="str">
        <f>IF(G227/E227&gt;0.06,"High Risk","Normal")</f>
        <v>Normal</v>
      </c>
    </row>
    <row r="228" spans="1:13" x14ac:dyDescent="0.3">
      <c r="A228" t="s">
        <v>34</v>
      </c>
      <c r="B228" t="s">
        <v>54</v>
      </c>
      <c r="C228" s="4">
        <v>45884</v>
      </c>
      <c r="D228" t="s">
        <v>21</v>
      </c>
      <c r="E228">
        <v>10699</v>
      </c>
      <c r="F228">
        <v>9795</v>
      </c>
      <c r="G228">
        <v>631</v>
      </c>
      <c r="H228">
        <v>229</v>
      </c>
      <c r="I228">
        <f>Table2[[#This Row],[Total_Units]]-Table2[[#This Row],[Successful_Output]]-Table2[[#This Row],[Mortality_Count]]-Table2[[#This Row],[Contamination_Count]]</f>
        <v>44</v>
      </c>
      <c r="J228" s="6">
        <f>F228/E228</f>
        <v>0.91550612206748294</v>
      </c>
      <c r="K228" s="6">
        <f>G228/E228</f>
        <v>5.8977474530329935E-2</v>
      </c>
      <c r="L228" s="6">
        <f>H228/E228</f>
        <v>2.1403869520515935E-2</v>
      </c>
      <c r="M228" t="str">
        <f>IF(G228/E228&gt;0.06,"High Risk","Normal")</f>
        <v>Normal</v>
      </c>
    </row>
    <row r="229" spans="1:13" x14ac:dyDescent="0.3">
      <c r="A229" t="s">
        <v>34</v>
      </c>
      <c r="B229" t="s">
        <v>58</v>
      </c>
      <c r="C229" s="4">
        <v>45885</v>
      </c>
      <c r="D229" t="s">
        <v>21</v>
      </c>
      <c r="E229">
        <v>10157</v>
      </c>
      <c r="F229">
        <v>9307</v>
      </c>
      <c r="G229">
        <v>307</v>
      </c>
      <c r="H229">
        <v>204</v>
      </c>
      <c r="I229">
        <f>Table2[[#This Row],[Total_Units]]-Table2[[#This Row],[Successful_Output]]-Table2[[#This Row],[Mortality_Count]]-Table2[[#This Row],[Contamination_Count]]</f>
        <v>339</v>
      </c>
      <c r="J229" s="6">
        <f>F229/E229</f>
        <v>0.91631387220636018</v>
      </c>
      <c r="K229" s="6">
        <f>G229/E229</f>
        <v>3.0225460273702865E-2</v>
      </c>
      <c r="L229" s="6">
        <f>H229/E229</f>
        <v>2.0084670670473564E-2</v>
      </c>
      <c r="M229" t="str">
        <f>IF(G229/E229&gt;0.06,"High Risk","Normal")</f>
        <v>Normal</v>
      </c>
    </row>
    <row r="230" spans="1:13" x14ac:dyDescent="0.3">
      <c r="A230" t="s">
        <v>34</v>
      </c>
      <c r="B230" t="s">
        <v>59</v>
      </c>
      <c r="C230" s="4">
        <v>45886</v>
      </c>
      <c r="D230" t="s">
        <v>21</v>
      </c>
      <c r="E230">
        <v>8868</v>
      </c>
      <c r="F230">
        <v>7600</v>
      </c>
      <c r="G230">
        <v>607</v>
      </c>
      <c r="H230">
        <v>194</v>
      </c>
      <c r="I230">
        <f>Table2[[#This Row],[Total_Units]]-Table2[[#This Row],[Successful_Output]]-Table2[[#This Row],[Mortality_Count]]-Table2[[#This Row],[Contamination_Count]]</f>
        <v>467</v>
      </c>
      <c r="J230" s="6">
        <f>F230/E230</f>
        <v>0.8570139828597203</v>
      </c>
      <c r="K230" s="6">
        <f>G230/E230</f>
        <v>6.8448353631032924E-2</v>
      </c>
      <c r="L230" s="6">
        <f>H230/E230</f>
        <v>2.1876409562471808E-2</v>
      </c>
      <c r="M230" t="str">
        <f>IF(G230/E230&gt;0.06,"High Risk","Normal")</f>
        <v>High Risk</v>
      </c>
    </row>
    <row r="231" spans="1:13" x14ac:dyDescent="0.3">
      <c r="A231" t="s">
        <v>34</v>
      </c>
      <c r="B231" t="s">
        <v>56</v>
      </c>
      <c r="C231" s="4">
        <v>45887</v>
      </c>
      <c r="D231" t="s">
        <v>21</v>
      </c>
      <c r="E231">
        <v>9736</v>
      </c>
      <c r="F231">
        <v>8668</v>
      </c>
      <c r="G231">
        <v>474</v>
      </c>
      <c r="H231">
        <v>200</v>
      </c>
      <c r="I231">
        <f>Table2[[#This Row],[Total_Units]]-Table2[[#This Row],[Successful_Output]]-Table2[[#This Row],[Mortality_Count]]-Table2[[#This Row],[Contamination_Count]]</f>
        <v>394</v>
      </c>
      <c r="J231" s="6">
        <f>F231/E231</f>
        <v>0.89030402629416594</v>
      </c>
      <c r="K231" s="6">
        <f>G231/E231</f>
        <v>4.8685291700903861E-2</v>
      </c>
      <c r="L231" s="6">
        <f>H231/E231</f>
        <v>2.0542317173377157E-2</v>
      </c>
      <c r="M231" t="str">
        <f>IF(G231/E231&gt;0.06,"High Risk","Normal")</f>
        <v>Normal</v>
      </c>
    </row>
    <row r="232" spans="1:13" x14ac:dyDescent="0.3">
      <c r="A232" t="s">
        <v>34</v>
      </c>
      <c r="B232" t="s">
        <v>60</v>
      </c>
      <c r="C232" s="4">
        <v>45888</v>
      </c>
      <c r="D232" t="s">
        <v>21</v>
      </c>
      <c r="E232">
        <v>10138</v>
      </c>
      <c r="F232">
        <v>7866</v>
      </c>
      <c r="G232">
        <v>408</v>
      </c>
      <c r="H232">
        <v>172</v>
      </c>
      <c r="I232">
        <f>Table2[[#This Row],[Total_Units]]-Table2[[#This Row],[Successful_Output]]-Table2[[#This Row],[Mortality_Count]]-Table2[[#This Row],[Contamination_Count]]</f>
        <v>1692</v>
      </c>
      <c r="J232" s="6">
        <f>F232/E232</f>
        <v>0.77589268100217001</v>
      </c>
      <c r="K232" s="6">
        <f>G232/E232</f>
        <v>4.0244624186230024E-2</v>
      </c>
      <c r="L232" s="6">
        <f>H232/E232</f>
        <v>1.6965870980469519E-2</v>
      </c>
      <c r="M232" t="str">
        <f>IF(G232/E232&gt;0.06,"High Risk","Normal")</f>
        <v>Normal</v>
      </c>
    </row>
    <row r="233" spans="1:13" x14ac:dyDescent="0.3">
      <c r="A233" t="s">
        <v>34</v>
      </c>
      <c r="B233" t="s">
        <v>61</v>
      </c>
      <c r="C233" s="4">
        <v>45889</v>
      </c>
      <c r="D233" t="s">
        <v>21</v>
      </c>
      <c r="E233">
        <v>9403</v>
      </c>
      <c r="F233">
        <v>8304</v>
      </c>
      <c r="G233">
        <v>347</v>
      </c>
      <c r="H233">
        <v>196</v>
      </c>
      <c r="I233">
        <f>Table2[[#This Row],[Total_Units]]-Table2[[#This Row],[Successful_Output]]-Table2[[#This Row],[Mortality_Count]]-Table2[[#This Row],[Contamination_Count]]</f>
        <v>556</v>
      </c>
      <c r="J233" s="6">
        <f>F233/E233</f>
        <v>0.88312240774220996</v>
      </c>
      <c r="K233" s="6">
        <f>G233/E233</f>
        <v>3.6903116026799958E-2</v>
      </c>
      <c r="L233" s="6">
        <f>H233/E233</f>
        <v>2.084441135807721E-2</v>
      </c>
      <c r="M233" t="str">
        <f>IF(G233/E233&gt;0.06,"High Risk","Normal")</f>
        <v>Normal</v>
      </c>
    </row>
    <row r="234" spans="1:13" x14ac:dyDescent="0.3">
      <c r="A234" t="s">
        <v>34</v>
      </c>
      <c r="B234" t="s">
        <v>57</v>
      </c>
      <c r="C234" s="4">
        <v>45890</v>
      </c>
      <c r="D234" t="s">
        <v>21</v>
      </c>
      <c r="E234">
        <v>11702</v>
      </c>
      <c r="F234">
        <v>9103</v>
      </c>
      <c r="G234">
        <v>425</v>
      </c>
      <c r="H234">
        <v>92</v>
      </c>
      <c r="I234">
        <f>Table2[[#This Row],[Total_Units]]-Table2[[#This Row],[Successful_Output]]-Table2[[#This Row],[Mortality_Count]]-Table2[[#This Row],[Contamination_Count]]</f>
        <v>2082</v>
      </c>
      <c r="J234" s="6">
        <f>F234/E234</f>
        <v>0.77790121346778329</v>
      </c>
      <c r="K234" s="6">
        <f>G234/E234</f>
        <v>3.6318578020851137E-2</v>
      </c>
      <c r="L234" s="6">
        <f>H234/E234</f>
        <v>7.8619039480430693E-3</v>
      </c>
      <c r="M234" t="str">
        <f>IF(G234/E234&gt;0.06,"High Risk","Normal")</f>
        <v>Normal</v>
      </c>
    </row>
    <row r="235" spans="1:13" x14ac:dyDescent="0.3">
      <c r="A235" t="s">
        <v>34</v>
      </c>
      <c r="B235" t="s">
        <v>62</v>
      </c>
      <c r="C235" s="4">
        <v>45891</v>
      </c>
      <c r="D235" t="s">
        <v>21</v>
      </c>
      <c r="E235">
        <v>9026</v>
      </c>
      <c r="F235">
        <v>6885</v>
      </c>
      <c r="G235">
        <v>352</v>
      </c>
      <c r="H235">
        <v>163</v>
      </c>
      <c r="I235">
        <f>Table2[[#This Row],[Total_Units]]-Table2[[#This Row],[Successful_Output]]-Table2[[#This Row],[Mortality_Count]]-Table2[[#This Row],[Contamination_Count]]</f>
        <v>1626</v>
      </c>
      <c r="J235" s="6">
        <f>F235/E235</f>
        <v>0.76279636605362289</v>
      </c>
      <c r="K235" s="6">
        <f>G235/E235</f>
        <v>3.8998448925326834E-2</v>
      </c>
      <c r="L235" s="6">
        <f>H235/E235</f>
        <v>1.8058940837580324E-2</v>
      </c>
      <c r="M235" t="str">
        <f>IF(G235/E235&gt;0.06,"High Risk","Normal")</f>
        <v>Normal</v>
      </c>
    </row>
    <row r="236" spans="1:13" x14ac:dyDescent="0.3">
      <c r="A236" t="s">
        <v>34</v>
      </c>
      <c r="B236" t="s">
        <v>63</v>
      </c>
      <c r="C236" s="4">
        <v>45892</v>
      </c>
      <c r="D236" t="s">
        <v>21</v>
      </c>
      <c r="E236">
        <v>11179</v>
      </c>
      <c r="F236">
        <v>9025</v>
      </c>
      <c r="G236">
        <v>242</v>
      </c>
      <c r="H236">
        <v>277</v>
      </c>
      <c r="I236">
        <f>Table2[[#This Row],[Total_Units]]-Table2[[#This Row],[Successful_Output]]-Table2[[#This Row],[Mortality_Count]]-Table2[[#This Row],[Contamination_Count]]</f>
        <v>1635</v>
      </c>
      <c r="J236" s="6">
        <f>F236/E236</f>
        <v>0.80731729134985242</v>
      </c>
      <c r="K236" s="6">
        <f>G236/E236</f>
        <v>2.1647732355309063E-2</v>
      </c>
      <c r="L236" s="6">
        <f>H236/E236</f>
        <v>2.4778602737275248E-2</v>
      </c>
      <c r="M236" t="str">
        <f>IF(G236/E236&gt;0.06,"High Risk","Normal")</f>
        <v>Normal</v>
      </c>
    </row>
    <row r="237" spans="1:13" x14ac:dyDescent="0.3">
      <c r="A237" t="s">
        <v>34</v>
      </c>
      <c r="B237" t="s">
        <v>55</v>
      </c>
      <c r="C237" s="4">
        <v>45893</v>
      </c>
      <c r="D237" t="s">
        <v>21</v>
      </c>
      <c r="E237">
        <v>10552</v>
      </c>
      <c r="F237">
        <v>9587</v>
      </c>
      <c r="G237">
        <v>229</v>
      </c>
      <c r="H237">
        <v>231</v>
      </c>
      <c r="I237">
        <f>Table2[[#This Row],[Total_Units]]-Table2[[#This Row],[Successful_Output]]-Table2[[#This Row],[Mortality_Count]]-Table2[[#This Row],[Contamination_Count]]</f>
        <v>505</v>
      </c>
      <c r="J237" s="6">
        <f>F237/E237</f>
        <v>0.90854814253222138</v>
      </c>
      <c r="K237" s="6">
        <f>G237/E237</f>
        <v>2.1702047005307052E-2</v>
      </c>
      <c r="L237" s="6">
        <f>H237/E237</f>
        <v>2.1891584533737681E-2</v>
      </c>
      <c r="M237" t="str">
        <f>IF(G237/E237&gt;0.06,"High Risk","Normal")</f>
        <v>Normal</v>
      </c>
    </row>
    <row r="238" spans="1:13" x14ac:dyDescent="0.3">
      <c r="A238" t="s">
        <v>34</v>
      </c>
      <c r="B238" t="s">
        <v>64</v>
      </c>
      <c r="C238" s="4">
        <v>45894</v>
      </c>
      <c r="D238" t="s">
        <v>21</v>
      </c>
      <c r="E238">
        <v>8177</v>
      </c>
      <c r="F238">
        <v>7269</v>
      </c>
      <c r="G238">
        <v>215</v>
      </c>
      <c r="H238">
        <v>201</v>
      </c>
      <c r="I238">
        <f>Table2[[#This Row],[Total_Units]]-Table2[[#This Row],[Successful_Output]]-Table2[[#This Row],[Mortality_Count]]-Table2[[#This Row],[Contamination_Count]]</f>
        <v>492</v>
      </c>
      <c r="J238" s="6">
        <f>F238/E238</f>
        <v>0.88895683013330073</v>
      </c>
      <c r="K238" s="6">
        <f>G238/E238</f>
        <v>2.6293261587379234E-2</v>
      </c>
      <c r="L238" s="6">
        <f>H238/E238</f>
        <v>2.4581142228201052E-2</v>
      </c>
      <c r="M238" t="str">
        <f>IF(G238/E238&gt;0.06,"High Risk","Normal")</f>
        <v>Normal</v>
      </c>
    </row>
    <row r="239" spans="1:13" x14ac:dyDescent="0.3">
      <c r="A239" t="s">
        <v>34</v>
      </c>
      <c r="B239" t="s">
        <v>65</v>
      </c>
      <c r="C239" s="4">
        <v>45895</v>
      </c>
      <c r="D239" t="s">
        <v>21</v>
      </c>
      <c r="E239">
        <v>10305</v>
      </c>
      <c r="F239">
        <v>7761</v>
      </c>
      <c r="G239">
        <v>634</v>
      </c>
      <c r="H239">
        <v>102</v>
      </c>
      <c r="I239">
        <f>Table2[[#This Row],[Total_Units]]-Table2[[#This Row],[Successful_Output]]-Table2[[#This Row],[Mortality_Count]]-Table2[[#This Row],[Contamination_Count]]</f>
        <v>1808</v>
      </c>
      <c r="J239" s="6">
        <f>F239/E239</f>
        <v>0.75312954876273652</v>
      </c>
      <c r="K239" s="6">
        <f>G239/E239</f>
        <v>6.1523532265890343E-2</v>
      </c>
      <c r="L239" s="6">
        <f>H239/E239</f>
        <v>9.8981077147016015E-3</v>
      </c>
      <c r="M239" t="str">
        <f>IF(G239/E239&gt;0.06,"High Risk","Normal")</f>
        <v>High Risk</v>
      </c>
    </row>
    <row r="240" spans="1:13" x14ac:dyDescent="0.3">
      <c r="A240" t="s">
        <v>34</v>
      </c>
      <c r="B240" t="s">
        <v>53</v>
      </c>
      <c r="C240" s="4">
        <v>45896</v>
      </c>
      <c r="D240" t="s">
        <v>21</v>
      </c>
      <c r="E240">
        <v>10174</v>
      </c>
      <c r="F240">
        <v>8620</v>
      </c>
      <c r="G240">
        <v>592</v>
      </c>
      <c r="H240">
        <v>251</v>
      </c>
      <c r="I240">
        <f>Table2[[#This Row],[Total_Units]]-Table2[[#This Row],[Successful_Output]]-Table2[[#This Row],[Mortality_Count]]-Table2[[#This Row],[Contamination_Count]]</f>
        <v>711</v>
      </c>
      <c r="J240" s="6">
        <f>F240/E240</f>
        <v>0.84725771574601927</v>
      </c>
      <c r="K240" s="6">
        <f>G240/E240</f>
        <v>5.8187536858659329E-2</v>
      </c>
      <c r="L240" s="6">
        <f>H240/E240</f>
        <v>2.4670729310005898E-2</v>
      </c>
      <c r="M240" t="str">
        <f>IF(G240/E240&gt;0.06,"High Risk","Normal")</f>
        <v>Normal</v>
      </c>
    </row>
    <row r="241" spans="1:13" x14ac:dyDescent="0.3">
      <c r="A241" t="s">
        <v>34</v>
      </c>
      <c r="B241" t="s">
        <v>66</v>
      </c>
      <c r="C241" s="4">
        <v>45897</v>
      </c>
      <c r="D241" t="s">
        <v>21</v>
      </c>
      <c r="E241">
        <v>11269</v>
      </c>
      <c r="F241">
        <v>9105</v>
      </c>
      <c r="G241">
        <v>579</v>
      </c>
      <c r="H241">
        <v>80</v>
      </c>
      <c r="I241">
        <f>Table2[[#This Row],[Total_Units]]-Table2[[#This Row],[Successful_Output]]-Table2[[#This Row],[Mortality_Count]]-Table2[[#This Row],[Contamination_Count]]</f>
        <v>1505</v>
      </c>
      <c r="J241" s="6">
        <f>F241/E241</f>
        <v>0.80796876386547167</v>
      </c>
      <c r="K241" s="6">
        <f>G241/E241</f>
        <v>5.1379891738397375E-2</v>
      </c>
      <c r="L241" s="6">
        <f>H241/E241</f>
        <v>7.0991214837163898E-3</v>
      </c>
      <c r="M241" t="str">
        <f>IF(G241/E241&gt;0.06,"High Risk","Normal")</f>
        <v>Normal</v>
      </c>
    </row>
    <row r="242" spans="1:13" x14ac:dyDescent="0.3">
      <c r="A242" t="s">
        <v>34</v>
      </c>
      <c r="B242" t="s">
        <v>67</v>
      </c>
      <c r="C242" s="4">
        <v>45898</v>
      </c>
      <c r="D242" t="s">
        <v>21</v>
      </c>
      <c r="E242">
        <v>8938</v>
      </c>
      <c r="F242">
        <v>8182</v>
      </c>
      <c r="G242">
        <v>256</v>
      </c>
      <c r="H242">
        <v>141</v>
      </c>
      <c r="I242">
        <f>Table2[[#This Row],[Total_Units]]-Table2[[#This Row],[Successful_Output]]-Table2[[#This Row],[Mortality_Count]]-Table2[[#This Row],[Contamination_Count]]</f>
        <v>359</v>
      </c>
      <c r="J242" s="6">
        <f>F242/E242</f>
        <v>0.91541731931080783</v>
      </c>
      <c r="K242" s="6">
        <f>G242/E242</f>
        <v>2.864175430745133E-2</v>
      </c>
      <c r="L242" s="6">
        <f>H242/E242</f>
        <v>1.5775341239650929E-2</v>
      </c>
      <c r="M242" t="str">
        <f>IF(G242/E242&gt;0.06,"High Risk","Normal")</f>
        <v>Normal</v>
      </c>
    </row>
    <row r="243" spans="1:13" x14ac:dyDescent="0.3">
      <c r="A243" t="s">
        <v>34</v>
      </c>
      <c r="B243" t="s">
        <v>68</v>
      </c>
      <c r="C243" s="4">
        <v>45899</v>
      </c>
      <c r="D243" t="s">
        <v>21</v>
      </c>
      <c r="E243">
        <v>8728</v>
      </c>
      <c r="F243">
        <v>7690</v>
      </c>
      <c r="G243">
        <v>270</v>
      </c>
      <c r="H243">
        <v>142</v>
      </c>
      <c r="I243">
        <f>Table2[[#This Row],[Total_Units]]-Table2[[#This Row],[Successful_Output]]-Table2[[#This Row],[Mortality_Count]]-Table2[[#This Row],[Contamination_Count]]</f>
        <v>626</v>
      </c>
      <c r="J243" s="6">
        <f>F243/E243</f>
        <v>0.88107241063244734</v>
      </c>
      <c r="K243" s="6">
        <f>G243/E243</f>
        <v>3.0934922089825848E-2</v>
      </c>
      <c r="L243" s="6">
        <f>H243/E243</f>
        <v>1.6269477543538038E-2</v>
      </c>
      <c r="M243" t="str">
        <f>IF(G243/E243&gt;0.06,"High Risk","Normal")</f>
        <v>Normal</v>
      </c>
    </row>
    <row r="244" spans="1:13" x14ac:dyDescent="0.3">
      <c r="A244" t="s">
        <v>34</v>
      </c>
      <c r="B244" t="s">
        <v>69</v>
      </c>
      <c r="C244" s="4">
        <v>45900</v>
      </c>
      <c r="D244" t="s">
        <v>21</v>
      </c>
      <c r="E244">
        <v>8631</v>
      </c>
      <c r="F244">
        <v>7345</v>
      </c>
      <c r="G244">
        <v>480</v>
      </c>
      <c r="H244">
        <v>43</v>
      </c>
      <c r="I244">
        <f>Table2[[#This Row],[Total_Units]]-Table2[[#This Row],[Successful_Output]]-Table2[[#This Row],[Mortality_Count]]-Table2[[#This Row],[Contamination_Count]]</f>
        <v>763</v>
      </c>
      <c r="J244" s="6">
        <f>F244/E244</f>
        <v>0.85100220136716487</v>
      </c>
      <c r="K244" s="6">
        <f>G244/E244</f>
        <v>5.5613486270420578E-2</v>
      </c>
      <c r="L244" s="6">
        <f>H244/E244</f>
        <v>4.9820414783918431E-3</v>
      </c>
      <c r="M244" t="str">
        <f>IF(G244/E244&gt;0.06,"High Risk","Normal")</f>
        <v>Normal</v>
      </c>
    </row>
    <row r="245" spans="1:13" x14ac:dyDescent="0.3">
      <c r="A245" t="s">
        <v>35</v>
      </c>
      <c r="B245" t="s">
        <v>39</v>
      </c>
      <c r="C245" s="4">
        <v>45901</v>
      </c>
      <c r="D245" t="s">
        <v>22</v>
      </c>
      <c r="E245">
        <v>11224</v>
      </c>
      <c r="F245">
        <v>9845</v>
      </c>
      <c r="G245">
        <v>283</v>
      </c>
      <c r="H245">
        <v>88</v>
      </c>
      <c r="I245">
        <f>Table2[[#This Row],[Total_Units]]-Table2[[#This Row],[Successful_Output]]-Table2[[#This Row],[Mortality_Count]]-Table2[[#This Row],[Contamination_Count]]</f>
        <v>1008</v>
      </c>
      <c r="J245" s="6">
        <f>F245/E245</f>
        <v>0.87713827512473275</v>
      </c>
      <c r="K245" s="6">
        <f>G245/E245</f>
        <v>2.521382751247327E-2</v>
      </c>
      <c r="L245" s="6">
        <f>H245/E245</f>
        <v>7.8403421240199576E-3</v>
      </c>
      <c r="M245" t="str">
        <f>IF(G245/E245&gt;0.06,"High Risk","Normal")</f>
        <v>Normal</v>
      </c>
    </row>
    <row r="246" spans="1:13" x14ac:dyDescent="0.3">
      <c r="A246" t="s">
        <v>35</v>
      </c>
      <c r="B246" t="s">
        <v>40</v>
      </c>
      <c r="C246" s="4">
        <v>45902</v>
      </c>
      <c r="D246" t="s">
        <v>22</v>
      </c>
      <c r="E246">
        <v>11166</v>
      </c>
      <c r="F246">
        <v>10233</v>
      </c>
      <c r="G246">
        <v>430</v>
      </c>
      <c r="H246">
        <v>289</v>
      </c>
      <c r="I246">
        <f>Table2[[#This Row],[Total_Units]]-Table2[[#This Row],[Successful_Output]]-Table2[[#This Row],[Mortality_Count]]-Table2[[#This Row],[Contamination_Count]]</f>
        <v>214</v>
      </c>
      <c r="J246" s="6">
        <f>F246/E246</f>
        <v>0.91644277270284791</v>
      </c>
      <c r="K246" s="6">
        <f>G246/E246</f>
        <v>3.8509761776822499E-2</v>
      </c>
      <c r="L246" s="6">
        <f>H246/E246</f>
        <v>2.5882142217445819E-2</v>
      </c>
      <c r="M246" t="str">
        <f>IF(G246/E246&gt;0.06,"High Risk","Normal")</f>
        <v>Normal</v>
      </c>
    </row>
    <row r="247" spans="1:13" x14ac:dyDescent="0.3">
      <c r="A247" t="s">
        <v>35</v>
      </c>
      <c r="B247" t="s">
        <v>49</v>
      </c>
      <c r="C247" s="4">
        <v>45903</v>
      </c>
      <c r="D247" t="s">
        <v>22</v>
      </c>
      <c r="E247">
        <v>10012</v>
      </c>
      <c r="F247">
        <v>7702</v>
      </c>
      <c r="G247">
        <v>647</v>
      </c>
      <c r="H247">
        <v>125</v>
      </c>
      <c r="I247">
        <f>Table2[[#This Row],[Total_Units]]-Table2[[#This Row],[Successful_Output]]-Table2[[#This Row],[Mortality_Count]]-Table2[[#This Row],[Contamination_Count]]</f>
        <v>1538</v>
      </c>
      <c r="J247" s="6">
        <f>F247/E247</f>
        <v>0.76927686775868953</v>
      </c>
      <c r="K247" s="6">
        <f>G247/E247</f>
        <v>6.4622453056332407E-2</v>
      </c>
      <c r="L247" s="6">
        <f>H247/E247</f>
        <v>1.2485017978425888E-2</v>
      </c>
      <c r="M247" t="str">
        <f>IF(G247/E247&gt;0.06,"High Risk","Normal")</f>
        <v>High Risk</v>
      </c>
    </row>
    <row r="248" spans="1:13" x14ac:dyDescent="0.3">
      <c r="A248" t="s">
        <v>35</v>
      </c>
      <c r="B248" t="s">
        <v>41</v>
      </c>
      <c r="C248" s="4">
        <v>45904</v>
      </c>
      <c r="D248" t="s">
        <v>22</v>
      </c>
      <c r="E248">
        <v>9241</v>
      </c>
      <c r="F248">
        <v>7930</v>
      </c>
      <c r="G248">
        <v>448</v>
      </c>
      <c r="H248">
        <v>195</v>
      </c>
      <c r="I248">
        <f>Table2[[#This Row],[Total_Units]]-Table2[[#This Row],[Successful_Output]]-Table2[[#This Row],[Mortality_Count]]-Table2[[#This Row],[Contamination_Count]]</f>
        <v>668</v>
      </c>
      <c r="J248" s="6">
        <f>F248/E248</f>
        <v>0.85813223677091222</v>
      </c>
      <c r="K248" s="6">
        <f>G248/E248</f>
        <v>4.8479601774699711E-2</v>
      </c>
      <c r="L248" s="6">
        <f>H248/E248</f>
        <v>2.1101612379612597E-2</v>
      </c>
      <c r="M248" t="str">
        <f>IF(G248/E248&gt;0.06,"High Risk","Normal")</f>
        <v>Normal</v>
      </c>
    </row>
    <row r="249" spans="1:13" x14ac:dyDescent="0.3">
      <c r="A249" t="s">
        <v>35</v>
      </c>
      <c r="B249" t="s">
        <v>42</v>
      </c>
      <c r="C249" s="4">
        <v>45905</v>
      </c>
      <c r="D249" t="s">
        <v>22</v>
      </c>
      <c r="E249">
        <v>11476</v>
      </c>
      <c r="F249">
        <v>9886</v>
      </c>
      <c r="G249">
        <v>490</v>
      </c>
      <c r="H249">
        <v>206</v>
      </c>
      <c r="I249">
        <f>Table2[[#This Row],[Total_Units]]-Table2[[#This Row],[Successful_Output]]-Table2[[#This Row],[Mortality_Count]]-Table2[[#This Row],[Contamination_Count]]</f>
        <v>894</v>
      </c>
      <c r="J249" s="6">
        <f>F249/E249</f>
        <v>0.86144998257232486</v>
      </c>
      <c r="K249" s="6">
        <f>G249/E249</f>
        <v>4.2697804112931337E-2</v>
      </c>
      <c r="L249" s="6">
        <f>H249/E249</f>
        <v>1.7950505402579295E-2</v>
      </c>
      <c r="M249" t="str">
        <f>IF(G249/E249&gt;0.06,"High Risk","Normal")</f>
        <v>Normal</v>
      </c>
    </row>
    <row r="250" spans="1:13" x14ac:dyDescent="0.3">
      <c r="A250" t="s">
        <v>35</v>
      </c>
      <c r="B250" t="s">
        <v>50</v>
      </c>
      <c r="C250" s="4">
        <v>45906</v>
      </c>
      <c r="D250" t="s">
        <v>22</v>
      </c>
      <c r="E250">
        <v>10446</v>
      </c>
      <c r="F250">
        <v>8351</v>
      </c>
      <c r="G250">
        <v>701</v>
      </c>
      <c r="H250">
        <v>120</v>
      </c>
      <c r="I250">
        <f>Table2[[#This Row],[Total_Units]]-Table2[[#This Row],[Successful_Output]]-Table2[[#This Row],[Mortality_Count]]-Table2[[#This Row],[Contamination_Count]]</f>
        <v>1274</v>
      </c>
      <c r="J250" s="6">
        <f>F250/E250</f>
        <v>0.79944476354585492</v>
      </c>
      <c r="K250" s="6">
        <f>G250/E250</f>
        <v>6.7107026613057633E-2</v>
      </c>
      <c r="L250" s="6">
        <f>H250/E250</f>
        <v>1.1487650775416428E-2</v>
      </c>
      <c r="M250" t="str">
        <f>IF(G250/E250&gt;0.06,"High Risk","Normal")</f>
        <v>High Risk</v>
      </c>
    </row>
    <row r="251" spans="1:13" x14ac:dyDescent="0.3">
      <c r="A251" t="s">
        <v>35</v>
      </c>
      <c r="B251" t="s">
        <v>43</v>
      </c>
      <c r="C251" s="4">
        <v>45907</v>
      </c>
      <c r="D251" t="s">
        <v>22</v>
      </c>
      <c r="E251">
        <v>10540</v>
      </c>
      <c r="F251">
        <v>8263</v>
      </c>
      <c r="G251">
        <v>713</v>
      </c>
      <c r="H251">
        <v>76</v>
      </c>
      <c r="I251">
        <f>Table2[[#This Row],[Total_Units]]-Table2[[#This Row],[Successful_Output]]-Table2[[#This Row],[Mortality_Count]]-Table2[[#This Row],[Contamination_Count]]</f>
        <v>1488</v>
      </c>
      <c r="J251" s="6">
        <f>F251/E251</f>
        <v>0.78396584440227701</v>
      </c>
      <c r="K251" s="6">
        <f>G251/E251</f>
        <v>6.7647058823529407E-2</v>
      </c>
      <c r="L251" s="6">
        <f>H251/E251</f>
        <v>7.2106261859582544E-3</v>
      </c>
      <c r="M251" t="str">
        <f>IF(G251/E251&gt;0.06,"High Risk","Normal")</f>
        <v>High Risk</v>
      </c>
    </row>
    <row r="252" spans="1:13" x14ac:dyDescent="0.3">
      <c r="A252" t="s">
        <v>35</v>
      </c>
      <c r="B252" t="s">
        <v>44</v>
      </c>
      <c r="C252" s="4">
        <v>45908</v>
      </c>
      <c r="D252" t="s">
        <v>22</v>
      </c>
      <c r="E252">
        <v>11379</v>
      </c>
      <c r="F252">
        <v>9302</v>
      </c>
      <c r="G252">
        <v>855</v>
      </c>
      <c r="H252">
        <v>161</v>
      </c>
      <c r="I252">
        <f>Table2[[#This Row],[Total_Units]]-Table2[[#This Row],[Successful_Output]]-Table2[[#This Row],[Mortality_Count]]-Table2[[#This Row],[Contamination_Count]]</f>
        <v>1061</v>
      </c>
      <c r="J252" s="6">
        <f>F252/E252</f>
        <v>0.81747077950610769</v>
      </c>
      <c r="K252" s="6">
        <f>G252/E252</f>
        <v>7.5138412865805429E-2</v>
      </c>
      <c r="L252" s="6">
        <f>H252/E252</f>
        <v>1.4148870726777396E-2</v>
      </c>
      <c r="M252" t="str">
        <f>IF(G252/E252&gt;0.06,"High Risk","Normal")</f>
        <v>High Risk</v>
      </c>
    </row>
    <row r="253" spans="1:13" x14ac:dyDescent="0.3">
      <c r="A253" t="s">
        <v>35</v>
      </c>
      <c r="B253" t="s">
        <v>51</v>
      </c>
      <c r="C253" s="4">
        <v>45909</v>
      </c>
      <c r="D253" t="s">
        <v>22</v>
      </c>
      <c r="E253">
        <v>9603</v>
      </c>
      <c r="F253">
        <v>7519</v>
      </c>
      <c r="G253">
        <v>735</v>
      </c>
      <c r="H253">
        <v>141</v>
      </c>
      <c r="I253">
        <f>Table2[[#This Row],[Total_Units]]-Table2[[#This Row],[Successful_Output]]-Table2[[#This Row],[Mortality_Count]]-Table2[[#This Row],[Contamination_Count]]</f>
        <v>1208</v>
      </c>
      <c r="J253" s="6">
        <f>F253/E253</f>
        <v>0.78298448401541187</v>
      </c>
      <c r="K253" s="6">
        <f>G253/E253</f>
        <v>7.6538581693220864E-2</v>
      </c>
      <c r="L253" s="6">
        <f>H253/E253</f>
        <v>1.4682911590128085E-2</v>
      </c>
      <c r="M253" t="str">
        <f>IF(G253/E253&gt;0.06,"High Risk","Normal")</f>
        <v>High Risk</v>
      </c>
    </row>
    <row r="254" spans="1:13" x14ac:dyDescent="0.3">
      <c r="A254" t="s">
        <v>35</v>
      </c>
      <c r="B254" t="s">
        <v>45</v>
      </c>
      <c r="C254" s="4">
        <v>45910</v>
      </c>
      <c r="D254" t="s">
        <v>22</v>
      </c>
      <c r="E254">
        <v>8707</v>
      </c>
      <c r="F254">
        <v>6712</v>
      </c>
      <c r="G254">
        <v>624</v>
      </c>
      <c r="H254">
        <v>55</v>
      </c>
      <c r="I254">
        <f>Table2[[#This Row],[Total_Units]]-Table2[[#This Row],[Successful_Output]]-Table2[[#This Row],[Mortality_Count]]-Table2[[#This Row],[Contamination_Count]]</f>
        <v>1316</v>
      </c>
      <c r="J254" s="6">
        <f>F254/E254</f>
        <v>0.77087400941770989</v>
      </c>
      <c r="K254" s="6">
        <f>G254/E254</f>
        <v>7.1666475249799008E-2</v>
      </c>
      <c r="L254" s="6">
        <f>H254/E254</f>
        <v>6.3167566325944644E-3</v>
      </c>
      <c r="M254" t="str">
        <f>IF(G254/E254&gt;0.06,"High Risk","Normal")</f>
        <v>High Risk</v>
      </c>
    </row>
    <row r="255" spans="1:13" x14ac:dyDescent="0.3">
      <c r="A255" t="s">
        <v>35</v>
      </c>
      <c r="B255" t="s">
        <v>46</v>
      </c>
      <c r="C255" s="4">
        <v>45911</v>
      </c>
      <c r="D255" t="s">
        <v>22</v>
      </c>
      <c r="E255">
        <v>10642</v>
      </c>
      <c r="F255">
        <v>8311</v>
      </c>
      <c r="G255">
        <v>536</v>
      </c>
      <c r="H255">
        <v>126</v>
      </c>
      <c r="I255">
        <f>Table2[[#This Row],[Total_Units]]-Table2[[#This Row],[Successful_Output]]-Table2[[#This Row],[Mortality_Count]]-Table2[[#This Row],[Contamination_Count]]</f>
        <v>1669</v>
      </c>
      <c r="J255" s="6">
        <f>F255/E255</f>
        <v>0.78096222514564928</v>
      </c>
      <c r="K255" s="6">
        <f>G255/E255</f>
        <v>5.0366472467581282E-2</v>
      </c>
      <c r="L255" s="6">
        <f>H255/E255</f>
        <v>1.1839879721856794E-2</v>
      </c>
      <c r="M255" t="str">
        <f>IF(G255/E255&gt;0.06,"High Risk","Normal")</f>
        <v>Normal</v>
      </c>
    </row>
    <row r="256" spans="1:13" x14ac:dyDescent="0.3">
      <c r="A256" t="s">
        <v>35</v>
      </c>
      <c r="B256" t="s">
        <v>52</v>
      </c>
      <c r="C256" s="4">
        <v>45912</v>
      </c>
      <c r="D256" t="s">
        <v>22</v>
      </c>
      <c r="E256">
        <v>9929</v>
      </c>
      <c r="F256">
        <v>8741</v>
      </c>
      <c r="G256">
        <v>695</v>
      </c>
      <c r="H256">
        <v>228</v>
      </c>
      <c r="I256">
        <f>Table2[[#This Row],[Total_Units]]-Table2[[#This Row],[Successful_Output]]-Table2[[#This Row],[Mortality_Count]]-Table2[[#This Row],[Contamination_Count]]</f>
        <v>265</v>
      </c>
      <c r="J256" s="6">
        <f>F256/E256</f>
        <v>0.88035048846812369</v>
      </c>
      <c r="K256" s="6">
        <f>G256/E256</f>
        <v>6.999697854768859E-2</v>
      </c>
      <c r="L256" s="6">
        <f>H256/E256</f>
        <v>2.2963037566723739E-2</v>
      </c>
      <c r="M256" t="str">
        <f>IF(G256/E256&gt;0.06,"High Risk","Normal")</f>
        <v>High Risk</v>
      </c>
    </row>
    <row r="257" spans="1:13" x14ac:dyDescent="0.3">
      <c r="A257" t="s">
        <v>35</v>
      </c>
      <c r="B257" t="s">
        <v>47</v>
      </c>
      <c r="C257" s="4">
        <v>45913</v>
      </c>
      <c r="D257" t="s">
        <v>22</v>
      </c>
      <c r="E257">
        <v>10608</v>
      </c>
      <c r="F257">
        <v>9611</v>
      </c>
      <c r="G257">
        <v>338</v>
      </c>
      <c r="H257">
        <v>285</v>
      </c>
      <c r="I257">
        <f>Table2[[#This Row],[Total_Units]]-Table2[[#This Row],[Successful_Output]]-Table2[[#This Row],[Mortality_Count]]-Table2[[#This Row],[Contamination_Count]]</f>
        <v>374</v>
      </c>
      <c r="J257" s="6">
        <f>F257/E257</f>
        <v>0.90601432880844646</v>
      </c>
      <c r="K257" s="6">
        <f>G257/E257</f>
        <v>3.1862745098039214E-2</v>
      </c>
      <c r="L257" s="6">
        <f>H257/E257</f>
        <v>2.6866515837104074E-2</v>
      </c>
      <c r="M257" t="str">
        <f>IF(G257/E257&gt;0.06,"High Risk","Normal")</f>
        <v>Normal</v>
      </c>
    </row>
    <row r="258" spans="1:13" x14ac:dyDescent="0.3">
      <c r="A258" t="s">
        <v>35</v>
      </c>
      <c r="B258" t="s">
        <v>48</v>
      </c>
      <c r="C258" s="4">
        <v>45914</v>
      </c>
      <c r="D258" t="s">
        <v>22</v>
      </c>
      <c r="E258">
        <v>8551</v>
      </c>
      <c r="F258">
        <v>6815</v>
      </c>
      <c r="G258">
        <v>300</v>
      </c>
      <c r="H258">
        <v>80</v>
      </c>
      <c r="I258">
        <f>Table2[[#This Row],[Total_Units]]-Table2[[#This Row],[Successful_Output]]-Table2[[#This Row],[Mortality_Count]]-Table2[[#This Row],[Contamination_Count]]</f>
        <v>1356</v>
      </c>
      <c r="J258" s="6">
        <f>F258/E258</f>
        <v>0.79698280902818386</v>
      </c>
      <c r="K258" s="6">
        <f>G258/E258</f>
        <v>3.5083615951350719E-2</v>
      </c>
      <c r="L258" s="6">
        <f>H258/E258</f>
        <v>9.355630920360191E-3</v>
      </c>
      <c r="M258" t="str">
        <f>IF(G258/E258&gt;0.06,"High Risk","Normal")</f>
        <v>Normal</v>
      </c>
    </row>
    <row r="259" spans="1:13" x14ac:dyDescent="0.3">
      <c r="A259" t="s">
        <v>35</v>
      </c>
      <c r="B259" t="s">
        <v>54</v>
      </c>
      <c r="C259" s="4">
        <v>45915</v>
      </c>
      <c r="D259" t="s">
        <v>22</v>
      </c>
      <c r="E259">
        <v>9977</v>
      </c>
      <c r="F259">
        <v>8337</v>
      </c>
      <c r="G259">
        <v>492</v>
      </c>
      <c r="H259">
        <v>143</v>
      </c>
      <c r="I259">
        <f>Table2[[#This Row],[Total_Units]]-Table2[[#This Row],[Successful_Output]]-Table2[[#This Row],[Mortality_Count]]-Table2[[#This Row],[Contamination_Count]]</f>
        <v>1005</v>
      </c>
      <c r="J259" s="6">
        <f>F259/E259</f>
        <v>0.83562193044001198</v>
      </c>
      <c r="K259" s="6">
        <f>G259/E259</f>
        <v>4.9313420867996394E-2</v>
      </c>
      <c r="L259" s="6">
        <f>H259/E259</f>
        <v>1.4332965821389196E-2</v>
      </c>
      <c r="M259" t="str">
        <f>IF(G259/E259&gt;0.06,"High Risk","Normal")</f>
        <v>Normal</v>
      </c>
    </row>
    <row r="260" spans="1:13" x14ac:dyDescent="0.3">
      <c r="A260" t="s">
        <v>35</v>
      </c>
      <c r="B260" t="s">
        <v>58</v>
      </c>
      <c r="C260" s="4">
        <v>45916</v>
      </c>
      <c r="D260" t="s">
        <v>22</v>
      </c>
      <c r="E260">
        <v>11977</v>
      </c>
      <c r="F260">
        <v>10949</v>
      </c>
      <c r="G260">
        <v>311</v>
      </c>
      <c r="H260">
        <v>162</v>
      </c>
      <c r="I260">
        <f>Table2[[#This Row],[Total_Units]]-Table2[[#This Row],[Successful_Output]]-Table2[[#This Row],[Mortality_Count]]-Table2[[#This Row],[Contamination_Count]]</f>
        <v>555</v>
      </c>
      <c r="J260" s="6">
        <f>F260/E260</f>
        <v>0.91416882357852547</v>
      </c>
      <c r="K260" s="6">
        <f>G260/E260</f>
        <v>2.5966435668364363E-2</v>
      </c>
      <c r="L260" s="6">
        <f>H260/E260</f>
        <v>1.3525924688987225E-2</v>
      </c>
      <c r="M260" t="str">
        <f>IF(G260/E260&gt;0.06,"High Risk","Normal")</f>
        <v>Normal</v>
      </c>
    </row>
    <row r="261" spans="1:13" x14ac:dyDescent="0.3">
      <c r="A261" t="s">
        <v>35</v>
      </c>
      <c r="B261" t="s">
        <v>59</v>
      </c>
      <c r="C261" s="4">
        <v>45917</v>
      </c>
      <c r="D261" t="s">
        <v>22</v>
      </c>
      <c r="E261">
        <v>9670</v>
      </c>
      <c r="F261">
        <v>8683</v>
      </c>
      <c r="G261">
        <v>303</v>
      </c>
      <c r="H261">
        <v>202</v>
      </c>
      <c r="I261">
        <f>Table2[[#This Row],[Total_Units]]-Table2[[#This Row],[Successful_Output]]-Table2[[#This Row],[Mortality_Count]]-Table2[[#This Row],[Contamination_Count]]</f>
        <v>482</v>
      </c>
      <c r="J261" s="6">
        <f>F261/E261</f>
        <v>0.89793174767321615</v>
      </c>
      <c r="K261" s="6">
        <f>G261/E261</f>
        <v>3.1334022750775598E-2</v>
      </c>
      <c r="L261" s="6">
        <f>H261/E261</f>
        <v>2.0889348500517064E-2</v>
      </c>
      <c r="M261" t="str">
        <f>IF(G261/E261&gt;0.06,"High Risk","Normal")</f>
        <v>Normal</v>
      </c>
    </row>
    <row r="262" spans="1:13" x14ac:dyDescent="0.3">
      <c r="A262" t="s">
        <v>35</v>
      </c>
      <c r="B262" t="s">
        <v>56</v>
      </c>
      <c r="C262" s="4">
        <v>45918</v>
      </c>
      <c r="D262" t="s">
        <v>22</v>
      </c>
      <c r="E262">
        <v>9889</v>
      </c>
      <c r="F262">
        <v>7606</v>
      </c>
      <c r="G262">
        <v>235</v>
      </c>
      <c r="H262">
        <v>176</v>
      </c>
      <c r="I262">
        <f>Table2[[#This Row],[Total_Units]]-Table2[[#This Row],[Successful_Output]]-Table2[[#This Row],[Mortality_Count]]-Table2[[#This Row],[Contamination_Count]]</f>
        <v>1872</v>
      </c>
      <c r="J262" s="6">
        <f>F262/E262</f>
        <v>0.76913742542218622</v>
      </c>
      <c r="K262" s="6">
        <f>G262/E262</f>
        <v>2.3763777935079382E-2</v>
      </c>
      <c r="L262" s="6">
        <f>H262/E262</f>
        <v>1.7797552836484983E-2</v>
      </c>
      <c r="M262" t="str">
        <f>IF(G262/E262&gt;0.06,"High Risk","Normal")</f>
        <v>Normal</v>
      </c>
    </row>
    <row r="263" spans="1:13" x14ac:dyDescent="0.3">
      <c r="A263" t="s">
        <v>35</v>
      </c>
      <c r="B263" t="s">
        <v>60</v>
      </c>
      <c r="C263" s="4">
        <v>45919</v>
      </c>
      <c r="D263" t="s">
        <v>22</v>
      </c>
      <c r="E263">
        <v>10052</v>
      </c>
      <c r="F263">
        <v>8437</v>
      </c>
      <c r="G263">
        <v>219</v>
      </c>
      <c r="H263">
        <v>276</v>
      </c>
      <c r="I263">
        <f>Table2[[#This Row],[Total_Units]]-Table2[[#This Row],[Successful_Output]]-Table2[[#This Row],[Mortality_Count]]-Table2[[#This Row],[Contamination_Count]]</f>
        <v>1120</v>
      </c>
      <c r="J263" s="6">
        <f>F263/E263</f>
        <v>0.83933545563072021</v>
      </c>
      <c r="K263" s="6">
        <f>G263/E263</f>
        <v>2.1786709112614405E-2</v>
      </c>
      <c r="L263" s="6">
        <f>H263/E263</f>
        <v>2.7457222443294866E-2</v>
      </c>
      <c r="M263" t="str">
        <f>IF(G263/E263&gt;0.06,"High Risk","Normal")</f>
        <v>Normal</v>
      </c>
    </row>
    <row r="264" spans="1:13" x14ac:dyDescent="0.3">
      <c r="A264" t="s">
        <v>35</v>
      </c>
      <c r="B264" t="s">
        <v>61</v>
      </c>
      <c r="C264" s="4">
        <v>45920</v>
      </c>
      <c r="D264" t="s">
        <v>22</v>
      </c>
      <c r="E264">
        <v>9093</v>
      </c>
      <c r="F264">
        <v>7157</v>
      </c>
      <c r="G264">
        <v>697</v>
      </c>
      <c r="H264">
        <v>139</v>
      </c>
      <c r="I264">
        <f>Table2[[#This Row],[Total_Units]]-Table2[[#This Row],[Successful_Output]]-Table2[[#This Row],[Mortality_Count]]-Table2[[#This Row],[Contamination_Count]]</f>
        <v>1100</v>
      </c>
      <c r="J264" s="6">
        <f>F264/E264</f>
        <v>0.78708896953700647</v>
      </c>
      <c r="K264" s="6">
        <f>G264/E264</f>
        <v>7.6652369954910371E-2</v>
      </c>
      <c r="L264" s="6">
        <f>H264/E264</f>
        <v>1.528648410865501E-2</v>
      </c>
      <c r="M264" t="str">
        <f>IF(G264/E264&gt;0.06,"High Risk","Normal")</f>
        <v>High Risk</v>
      </c>
    </row>
    <row r="265" spans="1:13" x14ac:dyDescent="0.3">
      <c r="A265" t="s">
        <v>35</v>
      </c>
      <c r="B265" t="s">
        <v>57</v>
      </c>
      <c r="C265" s="4">
        <v>45921</v>
      </c>
      <c r="D265" t="s">
        <v>22</v>
      </c>
      <c r="E265">
        <v>8734</v>
      </c>
      <c r="F265">
        <v>7216</v>
      </c>
      <c r="G265">
        <v>513</v>
      </c>
      <c r="H265">
        <v>187</v>
      </c>
      <c r="I265">
        <f>Table2[[#This Row],[Total_Units]]-Table2[[#This Row],[Successful_Output]]-Table2[[#This Row],[Mortality_Count]]-Table2[[#This Row],[Contamination_Count]]</f>
        <v>818</v>
      </c>
      <c r="J265" s="6">
        <f>F265/E265</f>
        <v>0.82619647355163728</v>
      </c>
      <c r="K265" s="6">
        <f>G265/E265</f>
        <v>5.8735974353102814E-2</v>
      </c>
      <c r="L265" s="6">
        <f>H265/E265</f>
        <v>2.1410579345088162E-2</v>
      </c>
      <c r="M265" t="str">
        <f>IF(G265/E265&gt;0.06,"High Risk","Normal")</f>
        <v>Normal</v>
      </c>
    </row>
    <row r="266" spans="1:13" x14ac:dyDescent="0.3">
      <c r="A266" t="s">
        <v>35</v>
      </c>
      <c r="B266" t="s">
        <v>62</v>
      </c>
      <c r="C266" s="4">
        <v>45922</v>
      </c>
      <c r="D266" t="s">
        <v>22</v>
      </c>
      <c r="E266">
        <v>10787</v>
      </c>
      <c r="F266">
        <v>8873</v>
      </c>
      <c r="G266">
        <v>559</v>
      </c>
      <c r="H266">
        <v>231</v>
      </c>
      <c r="I266">
        <f>Table2[[#This Row],[Total_Units]]-Table2[[#This Row],[Successful_Output]]-Table2[[#This Row],[Mortality_Count]]-Table2[[#This Row],[Contamination_Count]]</f>
        <v>1124</v>
      </c>
      <c r="J266" s="6">
        <f>F266/E266</f>
        <v>0.82256419764531385</v>
      </c>
      <c r="K266" s="6">
        <f>G266/E266</f>
        <v>5.182163715583573E-2</v>
      </c>
      <c r="L266" s="6">
        <f>H266/E266</f>
        <v>2.1414665801427646E-2</v>
      </c>
      <c r="M266" t="str">
        <f>IF(G266/E266&gt;0.06,"High Risk","Normal")</f>
        <v>Normal</v>
      </c>
    </row>
    <row r="267" spans="1:13" x14ac:dyDescent="0.3">
      <c r="A267" t="s">
        <v>35</v>
      </c>
      <c r="B267" t="s">
        <v>63</v>
      </c>
      <c r="C267" s="4">
        <v>45923</v>
      </c>
      <c r="D267" t="s">
        <v>22</v>
      </c>
      <c r="E267">
        <v>9303</v>
      </c>
      <c r="F267">
        <v>7135</v>
      </c>
      <c r="G267">
        <v>593</v>
      </c>
      <c r="H267">
        <v>120</v>
      </c>
      <c r="I267">
        <f>Table2[[#This Row],[Total_Units]]-Table2[[#This Row],[Successful_Output]]-Table2[[#This Row],[Mortality_Count]]-Table2[[#This Row],[Contamination_Count]]</f>
        <v>1455</v>
      </c>
      <c r="J267" s="6">
        <f>F267/E267</f>
        <v>0.76695689562506719</v>
      </c>
      <c r="K267" s="6">
        <f>G267/E267</f>
        <v>6.3742878641298503E-2</v>
      </c>
      <c r="L267" s="6">
        <f>H267/E267</f>
        <v>1.2899064817800709E-2</v>
      </c>
      <c r="M267" t="str">
        <f>IF(G267/E267&gt;0.06,"High Risk","Normal")</f>
        <v>High Risk</v>
      </c>
    </row>
    <row r="268" spans="1:13" x14ac:dyDescent="0.3">
      <c r="A268" t="s">
        <v>35</v>
      </c>
      <c r="B268" t="s">
        <v>55</v>
      </c>
      <c r="C268" s="4">
        <v>45924</v>
      </c>
      <c r="D268" t="s">
        <v>22</v>
      </c>
      <c r="E268">
        <v>9208</v>
      </c>
      <c r="F268">
        <v>8385</v>
      </c>
      <c r="G268">
        <v>396</v>
      </c>
      <c r="H268">
        <v>259</v>
      </c>
      <c r="I268">
        <f>Table2[[#This Row],[Total_Units]]-Table2[[#This Row],[Successful_Output]]-Table2[[#This Row],[Mortality_Count]]-Table2[[#This Row],[Contamination_Count]]</f>
        <v>168</v>
      </c>
      <c r="J268" s="6">
        <f>F268/E268</f>
        <v>0.91062119895742832</v>
      </c>
      <c r="K268" s="6">
        <f>G268/E268</f>
        <v>4.3006081668114683E-2</v>
      </c>
      <c r="L268" s="6">
        <f>H268/E268</f>
        <v>2.812771503040834E-2</v>
      </c>
      <c r="M268" t="str">
        <f>IF(G268/E268&gt;0.06,"High Risk","Normal")</f>
        <v>Normal</v>
      </c>
    </row>
    <row r="269" spans="1:13" x14ac:dyDescent="0.3">
      <c r="A269" t="s">
        <v>35</v>
      </c>
      <c r="B269" t="s">
        <v>64</v>
      </c>
      <c r="C269" s="4">
        <v>45925</v>
      </c>
      <c r="D269" t="s">
        <v>22</v>
      </c>
      <c r="E269">
        <v>9305</v>
      </c>
      <c r="F269">
        <v>7740</v>
      </c>
      <c r="G269">
        <v>719</v>
      </c>
      <c r="H269">
        <v>122</v>
      </c>
      <c r="I269">
        <f>Table2[[#This Row],[Total_Units]]-Table2[[#This Row],[Successful_Output]]-Table2[[#This Row],[Mortality_Count]]-Table2[[#This Row],[Contamination_Count]]</f>
        <v>724</v>
      </c>
      <c r="J269" s="6">
        <f>F269/E269</f>
        <v>0.83181085437936597</v>
      </c>
      <c r="K269" s="6">
        <f>G269/E269</f>
        <v>7.7270284793121979E-2</v>
      </c>
      <c r="L269" s="6">
        <f>H269/E269</f>
        <v>1.3111230521225148E-2</v>
      </c>
      <c r="M269" t="str">
        <f>IF(G269/E269&gt;0.06,"High Risk","Normal")</f>
        <v>High Risk</v>
      </c>
    </row>
    <row r="270" spans="1:13" x14ac:dyDescent="0.3">
      <c r="A270" t="s">
        <v>35</v>
      </c>
      <c r="B270" t="s">
        <v>65</v>
      </c>
      <c r="C270" s="4">
        <v>45926</v>
      </c>
      <c r="D270" t="s">
        <v>22</v>
      </c>
      <c r="E270">
        <v>8258</v>
      </c>
      <c r="F270">
        <v>7127</v>
      </c>
      <c r="G270">
        <v>634</v>
      </c>
      <c r="H270">
        <v>51</v>
      </c>
      <c r="I270">
        <f>Table2[[#This Row],[Total_Units]]-Table2[[#This Row],[Successful_Output]]-Table2[[#This Row],[Mortality_Count]]-Table2[[#This Row],[Contamination_Count]]</f>
        <v>446</v>
      </c>
      <c r="J270" s="6">
        <f>F270/E270</f>
        <v>0.86304189876483406</v>
      </c>
      <c r="K270" s="6">
        <f>G270/E270</f>
        <v>7.6774037297166378E-2</v>
      </c>
      <c r="L270" s="6">
        <f>H270/E270</f>
        <v>6.1758294986679584E-3</v>
      </c>
      <c r="M270" t="str">
        <f>IF(G270/E270&gt;0.06,"High Risk","Normal")</f>
        <v>High Risk</v>
      </c>
    </row>
    <row r="271" spans="1:13" x14ac:dyDescent="0.3">
      <c r="A271" t="s">
        <v>35</v>
      </c>
      <c r="B271" t="s">
        <v>53</v>
      </c>
      <c r="C271" s="4">
        <v>45927</v>
      </c>
      <c r="D271" t="s">
        <v>22</v>
      </c>
      <c r="E271">
        <v>11140</v>
      </c>
      <c r="F271">
        <v>9740</v>
      </c>
      <c r="G271">
        <v>734</v>
      </c>
      <c r="H271">
        <v>61</v>
      </c>
      <c r="I271">
        <f>Table2[[#This Row],[Total_Units]]-Table2[[#This Row],[Successful_Output]]-Table2[[#This Row],[Mortality_Count]]-Table2[[#This Row],[Contamination_Count]]</f>
        <v>605</v>
      </c>
      <c r="J271" s="6">
        <f>F271/E271</f>
        <v>0.87432675044883301</v>
      </c>
      <c r="K271" s="6">
        <f>G271/E271</f>
        <v>6.5888689407540391E-2</v>
      </c>
      <c r="L271" s="6">
        <f>H271/E271</f>
        <v>5.4757630161579888E-3</v>
      </c>
      <c r="M271" t="str">
        <f>IF(G271/E271&gt;0.06,"High Risk","Normal")</f>
        <v>High Risk</v>
      </c>
    </row>
    <row r="272" spans="1:13" x14ac:dyDescent="0.3">
      <c r="A272" t="s">
        <v>35</v>
      </c>
      <c r="B272" t="s">
        <v>66</v>
      </c>
      <c r="C272" s="4">
        <v>45928</v>
      </c>
      <c r="D272" t="s">
        <v>22</v>
      </c>
      <c r="E272">
        <v>8846</v>
      </c>
      <c r="F272">
        <v>7796</v>
      </c>
      <c r="G272">
        <v>320</v>
      </c>
      <c r="H272">
        <v>233</v>
      </c>
      <c r="I272">
        <f>Table2[[#This Row],[Total_Units]]-Table2[[#This Row],[Successful_Output]]-Table2[[#This Row],[Mortality_Count]]-Table2[[#This Row],[Contamination_Count]]</f>
        <v>497</v>
      </c>
      <c r="J272" s="6">
        <f>F272/E272</f>
        <v>0.88130228351797424</v>
      </c>
      <c r="K272" s="6">
        <f>G272/E272</f>
        <v>3.6174542165950715E-2</v>
      </c>
      <c r="L272" s="6">
        <f>H272/E272</f>
        <v>2.6339588514582863E-2</v>
      </c>
      <c r="M272" t="str">
        <f>IF(G272/E272&gt;0.06,"High Risk","Normal")</f>
        <v>Normal</v>
      </c>
    </row>
    <row r="273" spans="1:13" x14ac:dyDescent="0.3">
      <c r="A273" t="s">
        <v>35</v>
      </c>
      <c r="B273" t="s">
        <v>67</v>
      </c>
      <c r="C273" s="4">
        <v>45929</v>
      </c>
      <c r="D273" t="s">
        <v>22</v>
      </c>
      <c r="E273">
        <v>8880</v>
      </c>
      <c r="F273">
        <v>8111</v>
      </c>
      <c r="G273">
        <v>242</v>
      </c>
      <c r="H273">
        <v>152</v>
      </c>
      <c r="I273">
        <f>Table2[[#This Row],[Total_Units]]-Table2[[#This Row],[Successful_Output]]-Table2[[#This Row],[Mortality_Count]]-Table2[[#This Row],[Contamination_Count]]</f>
        <v>375</v>
      </c>
      <c r="J273" s="6">
        <f>F273/E273</f>
        <v>0.91340090090090087</v>
      </c>
      <c r="K273" s="6">
        <f>G273/E273</f>
        <v>2.7252252252252251E-2</v>
      </c>
      <c r="L273" s="6">
        <f>H273/E273</f>
        <v>1.7117117117117116E-2</v>
      </c>
      <c r="M273" t="str">
        <f>IF(G273/E273&gt;0.06,"High Risk","Normal")</f>
        <v>Normal</v>
      </c>
    </row>
    <row r="274" spans="1:13" x14ac:dyDescent="0.3">
      <c r="A274" t="s">
        <v>35</v>
      </c>
      <c r="B274" t="s">
        <v>68</v>
      </c>
      <c r="C274" s="4">
        <v>45930</v>
      </c>
      <c r="D274" t="s">
        <v>22</v>
      </c>
      <c r="E274">
        <v>8606</v>
      </c>
      <c r="F274">
        <v>6993</v>
      </c>
      <c r="G274">
        <v>619</v>
      </c>
      <c r="H274">
        <v>162</v>
      </c>
      <c r="I274">
        <f>Table2[[#This Row],[Total_Units]]-Table2[[#This Row],[Successful_Output]]-Table2[[#This Row],[Mortality_Count]]-Table2[[#This Row],[Contamination_Count]]</f>
        <v>832</v>
      </c>
      <c r="J274" s="6">
        <f>F274/E274</f>
        <v>0.81257262375087147</v>
      </c>
      <c r="K274" s="6">
        <f>G274/E274</f>
        <v>7.1926562863118756E-2</v>
      </c>
      <c r="L274" s="6">
        <f>H274/E274</f>
        <v>1.8824076225888914E-2</v>
      </c>
      <c r="M274" t="str">
        <f>IF(G274/E274&gt;0.06,"High Risk","Normal")</f>
        <v>High Risk</v>
      </c>
    </row>
    <row r="275" spans="1:13" x14ac:dyDescent="0.3">
      <c r="A275" t="s">
        <v>36</v>
      </c>
      <c r="B275" t="s">
        <v>39</v>
      </c>
      <c r="C275" s="4">
        <v>45931</v>
      </c>
      <c r="D275" t="s">
        <v>23</v>
      </c>
      <c r="E275">
        <v>9460</v>
      </c>
      <c r="F275">
        <v>7420</v>
      </c>
      <c r="G275">
        <v>755</v>
      </c>
      <c r="H275">
        <v>92</v>
      </c>
      <c r="I275">
        <f>Table2[[#This Row],[Total_Units]]-Table2[[#This Row],[Successful_Output]]-Table2[[#This Row],[Mortality_Count]]-Table2[[#This Row],[Contamination_Count]]</f>
        <v>1193</v>
      </c>
      <c r="J275" s="6">
        <f>F275/E275</f>
        <v>0.78435517970401691</v>
      </c>
      <c r="K275" s="6">
        <f>G275/E275</f>
        <v>7.980972515856237E-2</v>
      </c>
      <c r="L275" s="6">
        <f>H275/E275</f>
        <v>9.7251585623678652E-3</v>
      </c>
      <c r="M275" t="str">
        <f>IF(G275/E275&gt;0.06,"High Risk","Normal")</f>
        <v>High Risk</v>
      </c>
    </row>
    <row r="276" spans="1:13" x14ac:dyDescent="0.3">
      <c r="A276" t="s">
        <v>36</v>
      </c>
      <c r="B276" t="s">
        <v>40</v>
      </c>
      <c r="C276" s="4">
        <v>45932</v>
      </c>
      <c r="D276" t="s">
        <v>23</v>
      </c>
      <c r="E276">
        <v>8554</v>
      </c>
      <c r="F276">
        <v>6720</v>
      </c>
      <c r="G276">
        <v>352</v>
      </c>
      <c r="H276">
        <v>222</v>
      </c>
      <c r="I276">
        <f>Table2[[#This Row],[Total_Units]]-Table2[[#This Row],[Successful_Output]]-Table2[[#This Row],[Mortality_Count]]-Table2[[#This Row],[Contamination_Count]]</f>
        <v>1260</v>
      </c>
      <c r="J276" s="6">
        <f>F276/E276</f>
        <v>0.78559738134206214</v>
      </c>
      <c r="K276" s="6">
        <f>G276/E276</f>
        <v>4.115033902267945E-2</v>
      </c>
      <c r="L276" s="6">
        <f>H276/E276</f>
        <v>2.5952770633621697E-2</v>
      </c>
      <c r="M276" t="str">
        <f>IF(G276/E276&gt;0.06,"High Risk","Normal")</f>
        <v>Normal</v>
      </c>
    </row>
    <row r="277" spans="1:13" x14ac:dyDescent="0.3">
      <c r="A277" t="s">
        <v>36</v>
      </c>
      <c r="B277" t="s">
        <v>49</v>
      </c>
      <c r="C277" s="4">
        <v>45933</v>
      </c>
      <c r="D277" t="s">
        <v>23</v>
      </c>
      <c r="E277">
        <v>11358</v>
      </c>
      <c r="F277">
        <v>9414</v>
      </c>
      <c r="G277">
        <v>846</v>
      </c>
      <c r="H277">
        <v>335</v>
      </c>
      <c r="I277">
        <f>Table2[[#This Row],[Total_Units]]-Table2[[#This Row],[Successful_Output]]-Table2[[#This Row],[Mortality_Count]]-Table2[[#This Row],[Contamination_Count]]</f>
        <v>763</v>
      </c>
      <c r="J277" s="6">
        <f>F277/E277</f>
        <v>0.82884310618066559</v>
      </c>
      <c r="K277" s="6">
        <f>G277/E277</f>
        <v>7.448494453248812E-2</v>
      </c>
      <c r="L277" s="6">
        <f>H277/E277</f>
        <v>2.949462933615073E-2</v>
      </c>
      <c r="M277" t="str">
        <f>IF(G277/E277&gt;0.06,"High Risk","Normal")</f>
        <v>High Risk</v>
      </c>
    </row>
    <row r="278" spans="1:13" x14ac:dyDescent="0.3">
      <c r="A278" t="s">
        <v>36</v>
      </c>
      <c r="B278" t="s">
        <v>41</v>
      </c>
      <c r="C278" s="4">
        <v>45934</v>
      </c>
      <c r="D278" t="s">
        <v>23</v>
      </c>
      <c r="E278">
        <v>9213</v>
      </c>
      <c r="F278">
        <v>7150</v>
      </c>
      <c r="G278">
        <v>671</v>
      </c>
      <c r="H278">
        <v>274</v>
      </c>
      <c r="I278">
        <f>Table2[[#This Row],[Total_Units]]-Table2[[#This Row],[Successful_Output]]-Table2[[#This Row],[Mortality_Count]]-Table2[[#This Row],[Contamination_Count]]</f>
        <v>1118</v>
      </c>
      <c r="J278" s="6">
        <f>F278/E278</f>
        <v>0.7760772821013785</v>
      </c>
      <c r="K278" s="6">
        <f>G278/E278</f>
        <v>7.2831868012590908E-2</v>
      </c>
      <c r="L278" s="6">
        <f>H278/E278</f>
        <v>2.9740583957451428E-2</v>
      </c>
      <c r="M278" t="str">
        <f>IF(G278/E278&gt;0.06,"High Risk","Normal")</f>
        <v>High Risk</v>
      </c>
    </row>
    <row r="279" spans="1:13" x14ac:dyDescent="0.3">
      <c r="A279" t="s">
        <v>36</v>
      </c>
      <c r="B279" t="s">
        <v>42</v>
      </c>
      <c r="C279" s="4">
        <v>45935</v>
      </c>
      <c r="D279" t="s">
        <v>23</v>
      </c>
      <c r="E279">
        <v>10316</v>
      </c>
      <c r="F279">
        <v>7864</v>
      </c>
      <c r="G279">
        <v>339</v>
      </c>
      <c r="H279">
        <v>102</v>
      </c>
      <c r="I279">
        <f>Table2[[#This Row],[Total_Units]]-Table2[[#This Row],[Successful_Output]]-Table2[[#This Row],[Mortality_Count]]-Table2[[#This Row],[Contamination_Count]]</f>
        <v>2011</v>
      </c>
      <c r="J279" s="6">
        <f>F279/E279</f>
        <v>0.76231097324544395</v>
      </c>
      <c r="K279" s="6">
        <f>G279/E279</f>
        <v>3.2861574253586663E-2</v>
      </c>
      <c r="L279" s="6">
        <f>H279/E279</f>
        <v>9.8875533152384641E-3</v>
      </c>
      <c r="M279" t="str">
        <f>IF(G279/E279&gt;0.06,"High Risk","Normal")</f>
        <v>Normal</v>
      </c>
    </row>
    <row r="280" spans="1:13" x14ac:dyDescent="0.3">
      <c r="A280" t="s">
        <v>36</v>
      </c>
      <c r="B280" t="s">
        <v>50</v>
      </c>
      <c r="C280" s="4">
        <v>45936</v>
      </c>
      <c r="D280" t="s">
        <v>23</v>
      </c>
      <c r="E280">
        <v>9053</v>
      </c>
      <c r="F280">
        <v>7127</v>
      </c>
      <c r="G280">
        <v>696</v>
      </c>
      <c r="H280">
        <v>113</v>
      </c>
      <c r="I280">
        <f>Table2[[#This Row],[Total_Units]]-Table2[[#This Row],[Successful_Output]]-Table2[[#This Row],[Mortality_Count]]-Table2[[#This Row],[Contamination_Count]]</f>
        <v>1117</v>
      </c>
      <c r="J280" s="6">
        <f>F280/E280</f>
        <v>0.7872528443609853</v>
      </c>
      <c r="K280" s="6">
        <f>G280/E280</f>
        <v>7.6880592068927431E-2</v>
      </c>
      <c r="L280" s="6">
        <f>H280/E280</f>
        <v>1.2482050149121838E-2</v>
      </c>
      <c r="M280" t="str">
        <f>IF(G280/E280&gt;0.06,"High Risk","Normal")</f>
        <v>High Risk</v>
      </c>
    </row>
    <row r="281" spans="1:13" x14ac:dyDescent="0.3">
      <c r="A281" t="s">
        <v>36</v>
      </c>
      <c r="B281" t="s">
        <v>43</v>
      </c>
      <c r="C281" s="4">
        <v>45937</v>
      </c>
      <c r="D281" t="s">
        <v>23</v>
      </c>
      <c r="E281">
        <v>9911</v>
      </c>
      <c r="F281">
        <v>8782</v>
      </c>
      <c r="G281">
        <v>447</v>
      </c>
      <c r="H281">
        <v>139</v>
      </c>
      <c r="I281">
        <f>Table2[[#This Row],[Total_Units]]-Table2[[#This Row],[Successful_Output]]-Table2[[#This Row],[Mortality_Count]]-Table2[[#This Row],[Contamination_Count]]</f>
        <v>543</v>
      </c>
      <c r="J281" s="6">
        <f>F281/E281</f>
        <v>0.88608616688527897</v>
      </c>
      <c r="K281" s="6">
        <f>G281/E281</f>
        <v>4.5101402482090609E-2</v>
      </c>
      <c r="L281" s="6">
        <f>H281/E281</f>
        <v>1.4024820906063969E-2</v>
      </c>
      <c r="M281" t="str">
        <f>IF(G281/E281&gt;0.06,"High Risk","Normal")</f>
        <v>Normal</v>
      </c>
    </row>
    <row r="282" spans="1:13" x14ac:dyDescent="0.3">
      <c r="A282" t="s">
        <v>36</v>
      </c>
      <c r="B282" t="s">
        <v>44</v>
      </c>
      <c r="C282" s="4">
        <v>45938</v>
      </c>
      <c r="D282" t="s">
        <v>23</v>
      </c>
      <c r="E282">
        <v>11386</v>
      </c>
      <c r="F282">
        <v>8900</v>
      </c>
      <c r="G282">
        <v>486</v>
      </c>
      <c r="H282">
        <v>151</v>
      </c>
      <c r="I282">
        <f>Table2[[#This Row],[Total_Units]]-Table2[[#This Row],[Successful_Output]]-Table2[[#This Row],[Mortality_Count]]-Table2[[#This Row],[Contamination_Count]]</f>
        <v>1849</v>
      </c>
      <c r="J282" s="6">
        <f>F282/E282</f>
        <v>0.78166168979448447</v>
      </c>
      <c r="K282" s="6">
        <f>G282/E282</f>
        <v>4.2683997892148252E-2</v>
      </c>
      <c r="L282" s="6">
        <f>H282/E282</f>
        <v>1.326190057965923E-2</v>
      </c>
      <c r="M282" t="str">
        <f>IF(G282/E282&gt;0.06,"High Risk","Normal")</f>
        <v>Normal</v>
      </c>
    </row>
    <row r="283" spans="1:13" x14ac:dyDescent="0.3">
      <c r="A283" t="s">
        <v>36</v>
      </c>
      <c r="B283" t="s">
        <v>51</v>
      </c>
      <c r="C283" s="4">
        <v>45939</v>
      </c>
      <c r="D283" t="s">
        <v>23</v>
      </c>
      <c r="E283">
        <v>9112</v>
      </c>
      <c r="F283">
        <v>7033</v>
      </c>
      <c r="G283">
        <v>619</v>
      </c>
      <c r="H283">
        <v>162</v>
      </c>
      <c r="I283">
        <f>Table2[[#This Row],[Total_Units]]-Table2[[#This Row],[Successful_Output]]-Table2[[#This Row],[Mortality_Count]]-Table2[[#This Row],[Contamination_Count]]</f>
        <v>1298</v>
      </c>
      <c r="J283" s="6">
        <f>F283/E283</f>
        <v>0.77183933274802463</v>
      </c>
      <c r="K283" s="6">
        <f>G283/E283</f>
        <v>6.7932396839332748E-2</v>
      </c>
      <c r="L283" s="6">
        <f>H283/E283</f>
        <v>1.7778753292361719E-2</v>
      </c>
      <c r="M283" t="str">
        <f>IF(G283/E283&gt;0.06,"High Risk","Normal")</f>
        <v>High Risk</v>
      </c>
    </row>
    <row r="284" spans="1:13" x14ac:dyDescent="0.3">
      <c r="A284" t="s">
        <v>36</v>
      </c>
      <c r="B284" t="s">
        <v>45</v>
      </c>
      <c r="C284" s="4">
        <v>45940</v>
      </c>
      <c r="D284" t="s">
        <v>23</v>
      </c>
      <c r="E284">
        <v>8057</v>
      </c>
      <c r="F284">
        <v>7365</v>
      </c>
      <c r="G284">
        <v>276</v>
      </c>
      <c r="H284">
        <v>188</v>
      </c>
      <c r="I284">
        <f>Table2[[#This Row],[Total_Units]]-Table2[[#This Row],[Successful_Output]]-Table2[[#This Row],[Mortality_Count]]-Table2[[#This Row],[Contamination_Count]]</f>
        <v>228</v>
      </c>
      <c r="J284" s="6">
        <f>F284/E284</f>
        <v>0.91411195233958054</v>
      </c>
      <c r="K284" s="6">
        <f>G284/E284</f>
        <v>3.4255926523519921E-2</v>
      </c>
      <c r="L284" s="6">
        <f>H284/E284</f>
        <v>2.3333747052252701E-2</v>
      </c>
      <c r="M284" t="str">
        <f>IF(G284/E284&gt;0.06,"High Risk","Normal")</f>
        <v>Normal</v>
      </c>
    </row>
    <row r="285" spans="1:13" x14ac:dyDescent="0.3">
      <c r="A285" t="s">
        <v>36</v>
      </c>
      <c r="B285" t="s">
        <v>46</v>
      </c>
      <c r="C285" s="4">
        <v>45941</v>
      </c>
      <c r="D285" t="s">
        <v>23</v>
      </c>
      <c r="E285">
        <v>8855</v>
      </c>
      <c r="F285">
        <v>6739</v>
      </c>
      <c r="G285">
        <v>495</v>
      </c>
      <c r="H285">
        <v>110</v>
      </c>
      <c r="I285">
        <f>Table2[[#This Row],[Total_Units]]-Table2[[#This Row],[Successful_Output]]-Table2[[#This Row],[Mortality_Count]]-Table2[[#This Row],[Contamination_Count]]</f>
        <v>1511</v>
      </c>
      <c r="J285" s="6">
        <f>F285/E285</f>
        <v>0.76103896103896107</v>
      </c>
      <c r="K285" s="6">
        <f>G285/E285</f>
        <v>5.5900621118012424E-2</v>
      </c>
      <c r="L285" s="6">
        <f>H285/E285</f>
        <v>1.2422360248447204E-2</v>
      </c>
      <c r="M285" t="str">
        <f>IF(G285/E285&gt;0.06,"High Risk","Normal")</f>
        <v>Normal</v>
      </c>
    </row>
    <row r="286" spans="1:13" x14ac:dyDescent="0.3">
      <c r="A286" t="s">
        <v>36</v>
      </c>
      <c r="B286" t="s">
        <v>52</v>
      </c>
      <c r="C286" s="4">
        <v>45942</v>
      </c>
      <c r="D286" t="s">
        <v>23</v>
      </c>
      <c r="E286">
        <v>9547</v>
      </c>
      <c r="F286">
        <v>8680</v>
      </c>
      <c r="G286">
        <v>247</v>
      </c>
      <c r="H286">
        <v>146</v>
      </c>
      <c r="I286">
        <f>Table2[[#This Row],[Total_Units]]-Table2[[#This Row],[Successful_Output]]-Table2[[#This Row],[Mortality_Count]]-Table2[[#This Row],[Contamination_Count]]</f>
        <v>474</v>
      </c>
      <c r="J286" s="6">
        <f>F286/E286</f>
        <v>0.90918613176914209</v>
      </c>
      <c r="K286" s="6">
        <f>G286/E286</f>
        <v>2.5872001675919135E-2</v>
      </c>
      <c r="L286" s="6">
        <f>H286/E286</f>
        <v>1.5292762124227506E-2</v>
      </c>
      <c r="M286" t="str">
        <f>IF(G286/E286&gt;0.06,"High Risk","Normal")</f>
        <v>Normal</v>
      </c>
    </row>
    <row r="287" spans="1:13" x14ac:dyDescent="0.3">
      <c r="A287" t="s">
        <v>36</v>
      </c>
      <c r="B287" t="s">
        <v>47</v>
      </c>
      <c r="C287" s="4">
        <v>45943</v>
      </c>
      <c r="D287" t="s">
        <v>23</v>
      </c>
      <c r="E287">
        <v>9624</v>
      </c>
      <c r="F287">
        <v>7597</v>
      </c>
      <c r="G287">
        <v>669</v>
      </c>
      <c r="H287">
        <v>168</v>
      </c>
      <c r="I287">
        <f>Table2[[#This Row],[Total_Units]]-Table2[[#This Row],[Successful_Output]]-Table2[[#This Row],[Mortality_Count]]-Table2[[#This Row],[Contamination_Count]]</f>
        <v>1190</v>
      </c>
      <c r="J287" s="6">
        <f>F287/E287</f>
        <v>0.78938071487946804</v>
      </c>
      <c r="K287" s="6">
        <f>G287/E287</f>
        <v>6.9513715710723192E-2</v>
      </c>
      <c r="L287" s="6">
        <f>H287/E287</f>
        <v>1.7456359102244388E-2</v>
      </c>
      <c r="M287" t="str">
        <f>IF(G287/E287&gt;0.06,"High Risk","Normal")</f>
        <v>High Risk</v>
      </c>
    </row>
    <row r="288" spans="1:13" x14ac:dyDescent="0.3">
      <c r="A288" t="s">
        <v>36</v>
      </c>
      <c r="B288" t="s">
        <v>48</v>
      </c>
      <c r="C288" s="4">
        <v>45944</v>
      </c>
      <c r="D288" t="s">
        <v>23</v>
      </c>
      <c r="E288">
        <v>8959</v>
      </c>
      <c r="F288">
        <v>6904</v>
      </c>
      <c r="G288">
        <v>463</v>
      </c>
      <c r="H288">
        <v>221</v>
      </c>
      <c r="I288">
        <f>Table2[[#This Row],[Total_Units]]-Table2[[#This Row],[Successful_Output]]-Table2[[#This Row],[Mortality_Count]]-Table2[[#This Row],[Contamination_Count]]</f>
        <v>1371</v>
      </c>
      <c r="J288" s="6">
        <f>F288/E288</f>
        <v>0.77062172117423822</v>
      </c>
      <c r="K288" s="6">
        <f>G288/E288</f>
        <v>5.167987498604755E-2</v>
      </c>
      <c r="L288" s="6">
        <f>H288/E288</f>
        <v>2.4667931688804556E-2</v>
      </c>
      <c r="M288" t="str">
        <f>IF(G288/E288&gt;0.06,"High Risk","Normal")</f>
        <v>Normal</v>
      </c>
    </row>
    <row r="289" spans="1:13" x14ac:dyDescent="0.3">
      <c r="A289" t="s">
        <v>36</v>
      </c>
      <c r="B289" t="s">
        <v>54</v>
      </c>
      <c r="C289" s="4">
        <v>45945</v>
      </c>
      <c r="D289" t="s">
        <v>23</v>
      </c>
      <c r="E289">
        <v>9634</v>
      </c>
      <c r="F289">
        <v>8500</v>
      </c>
      <c r="G289">
        <v>756</v>
      </c>
      <c r="H289">
        <v>232</v>
      </c>
      <c r="I289">
        <f>Table2[[#This Row],[Total_Units]]-Table2[[#This Row],[Successful_Output]]-Table2[[#This Row],[Mortality_Count]]-Table2[[#This Row],[Contamination_Count]]</f>
        <v>146</v>
      </c>
      <c r="J289" s="6">
        <f>F289/E289</f>
        <v>0.88229188291467719</v>
      </c>
      <c r="K289" s="6">
        <f>G289/E289</f>
        <v>7.8472078056881875E-2</v>
      </c>
      <c r="L289" s="6">
        <f>H289/E289</f>
        <v>2.4081378451318247E-2</v>
      </c>
      <c r="M289" t="str">
        <f>IF(G289/E289&gt;0.06,"High Risk","Normal")</f>
        <v>High Risk</v>
      </c>
    </row>
    <row r="290" spans="1:13" x14ac:dyDescent="0.3">
      <c r="A290" t="s">
        <v>36</v>
      </c>
      <c r="B290" t="s">
        <v>58</v>
      </c>
      <c r="C290" s="4">
        <v>45946</v>
      </c>
      <c r="D290" t="s">
        <v>23</v>
      </c>
      <c r="E290">
        <v>9244</v>
      </c>
      <c r="F290">
        <v>7918</v>
      </c>
      <c r="G290">
        <v>187</v>
      </c>
      <c r="H290">
        <v>66</v>
      </c>
      <c r="I290">
        <f>Table2[[#This Row],[Total_Units]]-Table2[[#This Row],[Successful_Output]]-Table2[[#This Row],[Mortality_Count]]-Table2[[#This Row],[Contamination_Count]]</f>
        <v>1073</v>
      </c>
      <c r="J290" s="6">
        <f>F290/E290</f>
        <v>0.85655560363479011</v>
      </c>
      <c r="K290" s="6">
        <f>G290/E290</f>
        <v>2.0229337948939854E-2</v>
      </c>
      <c r="L290" s="6">
        <f>H290/E290</f>
        <v>7.1397663349199482E-3</v>
      </c>
      <c r="M290" t="str">
        <f>IF(G290/E290&gt;0.06,"High Risk","Normal")</f>
        <v>Normal</v>
      </c>
    </row>
    <row r="291" spans="1:13" x14ac:dyDescent="0.3">
      <c r="A291" t="s">
        <v>36</v>
      </c>
      <c r="B291" t="s">
        <v>59</v>
      </c>
      <c r="C291" s="4">
        <v>45947</v>
      </c>
      <c r="D291" t="s">
        <v>23</v>
      </c>
      <c r="E291">
        <v>9613</v>
      </c>
      <c r="F291">
        <v>8330</v>
      </c>
      <c r="G291">
        <v>517</v>
      </c>
      <c r="H291">
        <v>255</v>
      </c>
      <c r="I291">
        <f>Table2[[#This Row],[Total_Units]]-Table2[[#This Row],[Successful_Output]]-Table2[[#This Row],[Mortality_Count]]-Table2[[#This Row],[Contamination_Count]]</f>
        <v>511</v>
      </c>
      <c r="J291" s="6">
        <f>F291/E291</f>
        <v>0.86653490065536254</v>
      </c>
      <c r="K291" s="6">
        <f>G291/E291</f>
        <v>5.3781337771767398E-2</v>
      </c>
      <c r="L291" s="6">
        <f>H291/E291</f>
        <v>2.6526578591490688E-2</v>
      </c>
      <c r="M291" t="str">
        <f>IF(G291/E291&gt;0.06,"High Risk","Normal")</f>
        <v>Normal</v>
      </c>
    </row>
    <row r="292" spans="1:13" x14ac:dyDescent="0.3">
      <c r="A292" t="s">
        <v>36</v>
      </c>
      <c r="B292" t="s">
        <v>56</v>
      </c>
      <c r="C292" s="4">
        <v>45948</v>
      </c>
      <c r="D292" t="s">
        <v>23</v>
      </c>
      <c r="E292">
        <v>9844</v>
      </c>
      <c r="F292">
        <v>7453</v>
      </c>
      <c r="G292">
        <v>511</v>
      </c>
      <c r="H292">
        <v>161</v>
      </c>
      <c r="I292">
        <f>Table2[[#This Row],[Total_Units]]-Table2[[#This Row],[Successful_Output]]-Table2[[#This Row],[Mortality_Count]]-Table2[[#This Row],[Contamination_Count]]</f>
        <v>1719</v>
      </c>
      <c r="J292" s="6">
        <f>F292/E292</f>
        <v>0.75711093051605038</v>
      </c>
      <c r="K292" s="6">
        <f>G292/E292</f>
        <v>5.1909792767167819E-2</v>
      </c>
      <c r="L292" s="6">
        <f>H292/E292</f>
        <v>1.6355140186915886E-2</v>
      </c>
      <c r="M292" t="str">
        <f>IF(G292/E292&gt;0.06,"High Risk","Normal")</f>
        <v>Normal</v>
      </c>
    </row>
    <row r="293" spans="1:13" x14ac:dyDescent="0.3">
      <c r="A293" t="s">
        <v>36</v>
      </c>
      <c r="B293" t="s">
        <v>60</v>
      </c>
      <c r="C293" s="4">
        <v>45949</v>
      </c>
      <c r="D293" t="s">
        <v>23</v>
      </c>
      <c r="E293">
        <v>11340</v>
      </c>
      <c r="F293">
        <v>9443</v>
      </c>
      <c r="G293">
        <v>829</v>
      </c>
      <c r="H293">
        <v>136</v>
      </c>
      <c r="I293">
        <f>Table2[[#This Row],[Total_Units]]-Table2[[#This Row],[Successful_Output]]-Table2[[#This Row],[Mortality_Count]]-Table2[[#This Row],[Contamination_Count]]</f>
        <v>932</v>
      </c>
      <c r="J293" s="6">
        <f>F293/E293</f>
        <v>0.83271604938271604</v>
      </c>
      <c r="K293" s="6">
        <f>G293/E293</f>
        <v>7.3104056437389764E-2</v>
      </c>
      <c r="L293" s="6">
        <f>H293/E293</f>
        <v>1.199294532627866E-2</v>
      </c>
      <c r="M293" t="str">
        <f>IF(G293/E293&gt;0.06,"High Risk","Normal")</f>
        <v>High Risk</v>
      </c>
    </row>
    <row r="294" spans="1:13" x14ac:dyDescent="0.3">
      <c r="A294" t="s">
        <v>36</v>
      </c>
      <c r="B294" t="s">
        <v>61</v>
      </c>
      <c r="C294" s="4">
        <v>45950</v>
      </c>
      <c r="D294" t="s">
        <v>23</v>
      </c>
      <c r="E294">
        <v>9711</v>
      </c>
      <c r="F294">
        <v>8269</v>
      </c>
      <c r="G294">
        <v>400</v>
      </c>
      <c r="H294">
        <v>114</v>
      </c>
      <c r="I294">
        <f>Table2[[#This Row],[Total_Units]]-Table2[[#This Row],[Successful_Output]]-Table2[[#This Row],[Mortality_Count]]-Table2[[#This Row],[Contamination_Count]]</f>
        <v>928</v>
      </c>
      <c r="J294" s="6">
        <f>F294/E294</f>
        <v>0.85150859849655025</v>
      </c>
      <c r="K294" s="6">
        <f>G294/E294</f>
        <v>4.1190402636185772E-2</v>
      </c>
      <c r="L294" s="6">
        <f>H294/E294</f>
        <v>1.1739264751312943E-2</v>
      </c>
      <c r="M294" t="str">
        <f>IF(G294/E294&gt;0.06,"High Risk","Normal")</f>
        <v>Normal</v>
      </c>
    </row>
    <row r="295" spans="1:13" x14ac:dyDescent="0.3">
      <c r="A295" t="s">
        <v>36</v>
      </c>
      <c r="B295" t="s">
        <v>57</v>
      </c>
      <c r="C295" s="4">
        <v>45951</v>
      </c>
      <c r="D295" t="s">
        <v>23</v>
      </c>
      <c r="E295">
        <v>11371</v>
      </c>
      <c r="F295">
        <v>10023</v>
      </c>
      <c r="G295">
        <v>375</v>
      </c>
      <c r="H295">
        <v>237</v>
      </c>
      <c r="I295">
        <f>Table2[[#This Row],[Total_Units]]-Table2[[#This Row],[Successful_Output]]-Table2[[#This Row],[Mortality_Count]]-Table2[[#This Row],[Contamination_Count]]</f>
        <v>736</v>
      </c>
      <c r="J295" s="6">
        <f>F295/E295</f>
        <v>0.88145281857356428</v>
      </c>
      <c r="K295" s="6">
        <f>G295/E295</f>
        <v>3.2978629847858584E-2</v>
      </c>
      <c r="L295" s="6">
        <f>H295/E295</f>
        <v>2.0842494063846629E-2</v>
      </c>
      <c r="M295" t="str">
        <f>IF(G295/E295&gt;0.06,"High Risk","Normal")</f>
        <v>Normal</v>
      </c>
    </row>
    <row r="296" spans="1:13" x14ac:dyDescent="0.3">
      <c r="A296" t="s">
        <v>36</v>
      </c>
      <c r="B296" t="s">
        <v>62</v>
      </c>
      <c r="C296" s="4">
        <v>45952</v>
      </c>
      <c r="D296" t="s">
        <v>23</v>
      </c>
      <c r="E296">
        <v>11825</v>
      </c>
      <c r="F296">
        <v>9860</v>
      </c>
      <c r="G296">
        <v>260</v>
      </c>
      <c r="H296">
        <v>334</v>
      </c>
      <c r="I296">
        <f>Table2[[#This Row],[Total_Units]]-Table2[[#This Row],[Successful_Output]]-Table2[[#This Row],[Mortality_Count]]-Table2[[#This Row],[Contamination_Count]]</f>
        <v>1371</v>
      </c>
      <c r="J296" s="6">
        <f>F296/E296</f>
        <v>0.83382663847780125</v>
      </c>
      <c r="K296" s="6">
        <f>G296/E296</f>
        <v>2.1987315010570826E-2</v>
      </c>
      <c r="L296" s="6">
        <f>H296/E296</f>
        <v>2.8245243128964058E-2</v>
      </c>
      <c r="M296" t="str">
        <f>IF(G296/E296&gt;0.06,"High Risk","Normal")</f>
        <v>Normal</v>
      </c>
    </row>
    <row r="297" spans="1:13" x14ac:dyDescent="0.3">
      <c r="A297" t="s">
        <v>36</v>
      </c>
      <c r="B297" t="s">
        <v>63</v>
      </c>
      <c r="C297" s="4">
        <v>45953</v>
      </c>
      <c r="D297" t="s">
        <v>23</v>
      </c>
      <c r="E297">
        <v>10066</v>
      </c>
      <c r="F297">
        <v>8056</v>
      </c>
      <c r="G297">
        <v>223</v>
      </c>
      <c r="H297">
        <v>121</v>
      </c>
      <c r="I297">
        <f>Table2[[#This Row],[Total_Units]]-Table2[[#This Row],[Successful_Output]]-Table2[[#This Row],[Mortality_Count]]-Table2[[#This Row],[Contamination_Count]]</f>
        <v>1666</v>
      </c>
      <c r="J297" s="6">
        <f>F297/E297</f>
        <v>0.80031790184780449</v>
      </c>
      <c r="K297" s="6">
        <f>G297/E297</f>
        <v>2.2153785018875421E-2</v>
      </c>
      <c r="L297" s="6">
        <f>H297/E297</f>
        <v>1.2020663620107291E-2</v>
      </c>
      <c r="M297" t="str">
        <f>IF(G297/E297&gt;0.06,"High Risk","Normal")</f>
        <v>Normal</v>
      </c>
    </row>
    <row r="298" spans="1:13" x14ac:dyDescent="0.3">
      <c r="A298" t="s">
        <v>36</v>
      </c>
      <c r="B298" t="s">
        <v>55</v>
      </c>
      <c r="C298" s="4">
        <v>45954</v>
      </c>
      <c r="D298" t="s">
        <v>23</v>
      </c>
      <c r="E298">
        <v>9386</v>
      </c>
      <c r="F298">
        <v>8134</v>
      </c>
      <c r="G298">
        <v>222</v>
      </c>
      <c r="H298">
        <v>112</v>
      </c>
      <c r="I298">
        <f>Table2[[#This Row],[Total_Units]]-Table2[[#This Row],[Successful_Output]]-Table2[[#This Row],[Mortality_Count]]-Table2[[#This Row],[Contamination_Count]]</f>
        <v>918</v>
      </c>
      <c r="J298" s="6">
        <f>F298/E298</f>
        <v>0.86660984444917966</v>
      </c>
      <c r="K298" s="6">
        <f>G298/E298</f>
        <v>2.365224802897933E-2</v>
      </c>
      <c r="L298" s="6">
        <f>H298/E298</f>
        <v>1.193266567227786E-2</v>
      </c>
      <c r="M298" t="str">
        <f>IF(G298/E298&gt;0.06,"High Risk","Normal")</f>
        <v>Normal</v>
      </c>
    </row>
    <row r="299" spans="1:13" x14ac:dyDescent="0.3">
      <c r="A299" t="s">
        <v>36</v>
      </c>
      <c r="B299" t="s">
        <v>64</v>
      </c>
      <c r="C299" s="4">
        <v>45955</v>
      </c>
      <c r="D299" t="s">
        <v>23</v>
      </c>
      <c r="E299">
        <v>9801</v>
      </c>
      <c r="F299">
        <v>7617</v>
      </c>
      <c r="G299">
        <v>656</v>
      </c>
      <c r="H299">
        <v>158</v>
      </c>
      <c r="I299">
        <f>Table2[[#This Row],[Total_Units]]-Table2[[#This Row],[Successful_Output]]-Table2[[#This Row],[Mortality_Count]]-Table2[[#This Row],[Contamination_Count]]</f>
        <v>1370</v>
      </c>
      <c r="J299" s="6">
        <f>F299/E299</f>
        <v>0.77716559534741347</v>
      </c>
      <c r="K299" s="6">
        <f>G299/E299</f>
        <v>6.6931945719824512E-2</v>
      </c>
      <c r="L299" s="6">
        <f>H299/E299</f>
        <v>1.6120803999591878E-2</v>
      </c>
      <c r="M299" t="str">
        <f>IF(G299/E299&gt;0.06,"High Risk","Normal")</f>
        <v>High Risk</v>
      </c>
    </row>
    <row r="300" spans="1:13" x14ac:dyDescent="0.3">
      <c r="A300" t="s">
        <v>36</v>
      </c>
      <c r="B300" t="s">
        <v>65</v>
      </c>
      <c r="C300" s="4">
        <v>45956</v>
      </c>
      <c r="D300" t="s">
        <v>23</v>
      </c>
      <c r="E300">
        <v>9304</v>
      </c>
      <c r="F300">
        <v>7507</v>
      </c>
      <c r="G300">
        <v>659</v>
      </c>
      <c r="H300">
        <v>124</v>
      </c>
      <c r="I300">
        <f>Table2[[#This Row],[Total_Units]]-Table2[[#This Row],[Successful_Output]]-Table2[[#This Row],[Mortality_Count]]-Table2[[#This Row],[Contamination_Count]]</f>
        <v>1014</v>
      </c>
      <c r="J300" s="6">
        <f>F300/E300</f>
        <v>0.80685726569217542</v>
      </c>
      <c r="K300" s="6">
        <f>G300/E300</f>
        <v>7.0829750644883921E-2</v>
      </c>
      <c r="L300" s="6">
        <f>H300/E300</f>
        <v>1.3327601031814273E-2</v>
      </c>
      <c r="M300" t="str">
        <f>IF(G300/E300&gt;0.06,"High Risk","Normal")</f>
        <v>High Risk</v>
      </c>
    </row>
    <row r="301" spans="1:13" x14ac:dyDescent="0.3">
      <c r="A301" t="s">
        <v>36</v>
      </c>
      <c r="B301" t="s">
        <v>53</v>
      </c>
      <c r="C301" s="4">
        <v>45957</v>
      </c>
      <c r="D301" t="s">
        <v>23</v>
      </c>
      <c r="E301">
        <v>8335</v>
      </c>
      <c r="F301">
        <v>7342</v>
      </c>
      <c r="G301">
        <v>632</v>
      </c>
      <c r="H301">
        <v>48</v>
      </c>
      <c r="I301">
        <f>Table2[[#This Row],[Total_Units]]-Table2[[#This Row],[Successful_Output]]-Table2[[#This Row],[Mortality_Count]]-Table2[[#This Row],[Contamination_Count]]</f>
        <v>313</v>
      </c>
      <c r="J301" s="6">
        <f>F301/E301</f>
        <v>0.88086382723455314</v>
      </c>
      <c r="K301" s="6">
        <f>G301/E301</f>
        <v>7.5824835032993407E-2</v>
      </c>
      <c r="L301" s="6">
        <f>H301/E301</f>
        <v>5.7588482303539291E-3</v>
      </c>
      <c r="M301" t="str">
        <f>IF(G301/E301&gt;0.06,"High Risk","Normal")</f>
        <v>High Risk</v>
      </c>
    </row>
    <row r="302" spans="1:13" x14ac:dyDescent="0.3">
      <c r="A302" t="s">
        <v>36</v>
      </c>
      <c r="B302" t="s">
        <v>66</v>
      </c>
      <c r="C302" s="4">
        <v>45958</v>
      </c>
      <c r="D302" t="s">
        <v>23</v>
      </c>
      <c r="E302">
        <v>11578</v>
      </c>
      <c r="F302">
        <v>8726</v>
      </c>
      <c r="G302">
        <v>886</v>
      </c>
      <c r="H302">
        <v>104</v>
      </c>
      <c r="I302">
        <f>Table2[[#This Row],[Total_Units]]-Table2[[#This Row],[Successful_Output]]-Table2[[#This Row],[Mortality_Count]]-Table2[[#This Row],[Contamination_Count]]</f>
        <v>1862</v>
      </c>
      <c r="J302" s="6">
        <f>F302/E302</f>
        <v>0.75367075487994473</v>
      </c>
      <c r="K302" s="6">
        <f>G302/E302</f>
        <v>7.6524442908965276E-2</v>
      </c>
      <c r="L302" s="6">
        <f>H302/E302</f>
        <v>8.9825531179823798E-3</v>
      </c>
      <c r="M302" t="str">
        <f>IF(G302/E302&gt;0.06,"High Risk","Normal")</f>
        <v>High Risk</v>
      </c>
    </row>
    <row r="303" spans="1:13" x14ac:dyDescent="0.3">
      <c r="A303" t="s">
        <v>36</v>
      </c>
      <c r="B303" t="s">
        <v>67</v>
      </c>
      <c r="C303" s="4">
        <v>45959</v>
      </c>
      <c r="D303" t="s">
        <v>23</v>
      </c>
      <c r="E303">
        <v>8528</v>
      </c>
      <c r="F303">
        <v>6638</v>
      </c>
      <c r="G303">
        <v>627</v>
      </c>
      <c r="H303">
        <v>109</v>
      </c>
      <c r="I303">
        <f>Table2[[#This Row],[Total_Units]]-Table2[[#This Row],[Successful_Output]]-Table2[[#This Row],[Mortality_Count]]-Table2[[#This Row],[Contamination_Count]]</f>
        <v>1154</v>
      </c>
      <c r="J303" s="6">
        <f>F303/E303</f>
        <v>0.77837711069418392</v>
      </c>
      <c r="K303" s="6">
        <f>G303/E303</f>
        <v>7.3522514071294565E-2</v>
      </c>
      <c r="L303" s="6">
        <f>H303/E303</f>
        <v>1.2781425891181988E-2</v>
      </c>
      <c r="M303" t="str">
        <f>IF(G303/E303&gt;0.06,"High Risk","Normal")</f>
        <v>High Risk</v>
      </c>
    </row>
    <row r="304" spans="1:13" x14ac:dyDescent="0.3">
      <c r="A304" t="s">
        <v>36</v>
      </c>
      <c r="B304" t="s">
        <v>68</v>
      </c>
      <c r="C304" s="4">
        <v>45960</v>
      </c>
      <c r="D304" t="s">
        <v>23</v>
      </c>
      <c r="E304">
        <v>9294</v>
      </c>
      <c r="F304">
        <v>8329</v>
      </c>
      <c r="G304">
        <v>482</v>
      </c>
      <c r="H304">
        <v>72</v>
      </c>
      <c r="I304">
        <f>Table2[[#This Row],[Total_Units]]-Table2[[#This Row],[Successful_Output]]-Table2[[#This Row],[Mortality_Count]]-Table2[[#This Row],[Contamination_Count]]</f>
        <v>411</v>
      </c>
      <c r="J304" s="6">
        <f>F304/E304</f>
        <v>0.89616957176673118</v>
      </c>
      <c r="K304" s="6">
        <f>G304/E304</f>
        <v>5.1861415967290728E-2</v>
      </c>
      <c r="L304" s="6">
        <f>H304/E304</f>
        <v>7.7469335054874116E-3</v>
      </c>
      <c r="M304" t="str">
        <f>IF(G304/E304&gt;0.06,"High Risk","Normal")</f>
        <v>Normal</v>
      </c>
    </row>
    <row r="305" spans="1:13" x14ac:dyDescent="0.3">
      <c r="A305" t="s">
        <v>36</v>
      </c>
      <c r="B305" t="s">
        <v>69</v>
      </c>
      <c r="C305" s="4">
        <v>45961</v>
      </c>
      <c r="D305" t="s">
        <v>23</v>
      </c>
      <c r="E305">
        <v>10664</v>
      </c>
      <c r="F305">
        <v>9282</v>
      </c>
      <c r="G305">
        <v>639</v>
      </c>
      <c r="H305">
        <v>233</v>
      </c>
      <c r="I305">
        <f>Table2[[#This Row],[Total_Units]]-Table2[[#This Row],[Successful_Output]]-Table2[[#This Row],[Mortality_Count]]-Table2[[#This Row],[Contamination_Count]]</f>
        <v>510</v>
      </c>
      <c r="J305" s="6">
        <f>F305/E305</f>
        <v>0.87040510127531878</v>
      </c>
      <c r="K305" s="6">
        <f>G305/E305</f>
        <v>5.9921230307576893E-2</v>
      </c>
      <c r="L305" s="6">
        <f>H305/E305</f>
        <v>2.1849212303075769E-2</v>
      </c>
      <c r="M305" t="str">
        <f>IF(G305/E305&gt;0.06,"High Risk","Normal")</f>
        <v>Normal</v>
      </c>
    </row>
    <row r="306" spans="1:13" x14ac:dyDescent="0.3">
      <c r="A306" t="s">
        <v>37</v>
      </c>
      <c r="B306" t="s">
        <v>39</v>
      </c>
      <c r="C306" s="4">
        <v>45962</v>
      </c>
      <c r="D306" t="s">
        <v>24</v>
      </c>
      <c r="E306">
        <v>9882</v>
      </c>
      <c r="F306">
        <v>8818</v>
      </c>
      <c r="G306">
        <v>351</v>
      </c>
      <c r="H306">
        <v>265</v>
      </c>
      <c r="I306">
        <f>Table2[[#This Row],[Total_Units]]-Table2[[#This Row],[Successful_Output]]-Table2[[#This Row],[Mortality_Count]]-Table2[[#This Row],[Contamination_Count]]</f>
        <v>448</v>
      </c>
      <c r="J306" s="6">
        <f>F306/E306</f>
        <v>0.89232948795790323</v>
      </c>
      <c r="K306" s="6">
        <f>G306/E306</f>
        <v>3.5519125683060107E-2</v>
      </c>
      <c r="L306" s="6">
        <f>H306/E306</f>
        <v>2.6816433920259057E-2</v>
      </c>
      <c r="M306" t="str">
        <f>IF(G306/E306&gt;0.06,"High Risk","Normal")</f>
        <v>Normal</v>
      </c>
    </row>
    <row r="307" spans="1:13" x14ac:dyDescent="0.3">
      <c r="A307" t="s">
        <v>37</v>
      </c>
      <c r="B307" t="s">
        <v>40</v>
      </c>
      <c r="C307" s="4">
        <v>45963</v>
      </c>
      <c r="D307" t="s">
        <v>24</v>
      </c>
      <c r="E307">
        <v>11373</v>
      </c>
      <c r="F307">
        <v>9494</v>
      </c>
      <c r="G307">
        <v>874</v>
      </c>
      <c r="H307">
        <v>153</v>
      </c>
      <c r="I307">
        <f>Table2[[#This Row],[Total_Units]]-Table2[[#This Row],[Successful_Output]]-Table2[[#This Row],[Mortality_Count]]-Table2[[#This Row],[Contamination_Count]]</f>
        <v>852</v>
      </c>
      <c r="J307" s="6">
        <f>F307/E307</f>
        <v>0.83478413787039485</v>
      </c>
      <c r="K307" s="6">
        <f>G307/E307</f>
        <v>7.6848676690407111E-2</v>
      </c>
      <c r="L307" s="6">
        <f>H307/E307</f>
        <v>1.3452914798206279E-2</v>
      </c>
      <c r="M307" t="str">
        <f>IF(G307/E307&gt;0.06,"High Risk","Normal")</f>
        <v>High Risk</v>
      </c>
    </row>
    <row r="308" spans="1:13" x14ac:dyDescent="0.3">
      <c r="A308" t="s">
        <v>37</v>
      </c>
      <c r="B308" t="s">
        <v>49</v>
      </c>
      <c r="C308" s="4">
        <v>45964</v>
      </c>
      <c r="D308" t="s">
        <v>24</v>
      </c>
      <c r="E308">
        <v>8084</v>
      </c>
      <c r="F308">
        <v>6276</v>
      </c>
      <c r="G308">
        <v>482</v>
      </c>
      <c r="H308">
        <v>53</v>
      </c>
      <c r="I308">
        <f>Table2[[#This Row],[Total_Units]]-Table2[[#This Row],[Successful_Output]]-Table2[[#This Row],[Mortality_Count]]-Table2[[#This Row],[Contamination_Count]]</f>
        <v>1273</v>
      </c>
      <c r="J308" s="6">
        <f>F308/E308</f>
        <v>0.77634834240475015</v>
      </c>
      <c r="K308" s="6">
        <f>G308/E308</f>
        <v>5.9623948540326571E-2</v>
      </c>
      <c r="L308" s="6">
        <f>H308/E308</f>
        <v>6.5561603166749138E-3</v>
      </c>
      <c r="M308" t="str">
        <f>IF(G308/E308&gt;0.06,"High Risk","Normal")</f>
        <v>Normal</v>
      </c>
    </row>
    <row r="309" spans="1:13" x14ac:dyDescent="0.3">
      <c r="A309" t="s">
        <v>37</v>
      </c>
      <c r="B309" t="s">
        <v>41</v>
      </c>
      <c r="C309" s="4">
        <v>45965</v>
      </c>
      <c r="D309" t="s">
        <v>24</v>
      </c>
      <c r="E309">
        <v>10194</v>
      </c>
      <c r="F309">
        <v>8865</v>
      </c>
      <c r="G309">
        <v>317</v>
      </c>
      <c r="H309">
        <v>273</v>
      </c>
      <c r="I309">
        <f>Table2[[#This Row],[Total_Units]]-Table2[[#This Row],[Successful_Output]]-Table2[[#This Row],[Mortality_Count]]-Table2[[#This Row],[Contamination_Count]]</f>
        <v>739</v>
      </c>
      <c r="J309" s="6">
        <f>F309/E309</f>
        <v>0.86962919364331959</v>
      </c>
      <c r="K309" s="6">
        <f>G309/E309</f>
        <v>3.1096723562880124E-2</v>
      </c>
      <c r="L309" s="6">
        <f>H309/E309</f>
        <v>2.6780459093584463E-2</v>
      </c>
      <c r="M309" t="str">
        <f>IF(G309/E309&gt;0.06,"High Risk","Normal")</f>
        <v>Normal</v>
      </c>
    </row>
    <row r="310" spans="1:13" x14ac:dyDescent="0.3">
      <c r="A310" t="s">
        <v>37</v>
      </c>
      <c r="B310" t="s">
        <v>42</v>
      </c>
      <c r="C310" s="4">
        <v>45966</v>
      </c>
      <c r="D310" t="s">
        <v>24</v>
      </c>
      <c r="E310">
        <v>10966</v>
      </c>
      <c r="F310">
        <v>9056</v>
      </c>
      <c r="G310">
        <v>748</v>
      </c>
      <c r="H310">
        <v>247</v>
      </c>
      <c r="I310">
        <f>Table2[[#This Row],[Total_Units]]-Table2[[#This Row],[Successful_Output]]-Table2[[#This Row],[Mortality_Count]]-Table2[[#This Row],[Contamination_Count]]</f>
        <v>915</v>
      </c>
      <c r="J310" s="6">
        <f>F310/E310</f>
        <v>0.82582527813240925</v>
      </c>
      <c r="K310" s="6">
        <f>G310/E310</f>
        <v>6.8210833485318256E-2</v>
      </c>
      <c r="L310" s="6">
        <f>H310/E310</f>
        <v>2.2524165602772206E-2</v>
      </c>
      <c r="M310" t="str">
        <f>IF(G310/E310&gt;0.06,"High Risk","Normal")</f>
        <v>High Risk</v>
      </c>
    </row>
    <row r="311" spans="1:13" x14ac:dyDescent="0.3">
      <c r="A311" t="s">
        <v>37</v>
      </c>
      <c r="B311" t="s">
        <v>50</v>
      </c>
      <c r="C311" s="4">
        <v>45967</v>
      </c>
      <c r="D311" t="s">
        <v>24</v>
      </c>
      <c r="E311">
        <v>10997</v>
      </c>
      <c r="F311">
        <v>9660</v>
      </c>
      <c r="G311">
        <v>847</v>
      </c>
      <c r="H311">
        <v>297</v>
      </c>
      <c r="I311">
        <f>Table2[[#This Row],[Total_Units]]-Table2[[#This Row],[Successful_Output]]-Table2[[#This Row],[Mortality_Count]]-Table2[[#This Row],[Contamination_Count]]</f>
        <v>193</v>
      </c>
      <c r="J311" s="6">
        <f>F311/E311</f>
        <v>0.87842138765117761</v>
      </c>
      <c r="K311" s="6">
        <f>G311/E311</f>
        <v>7.7021005728835135E-2</v>
      </c>
      <c r="L311" s="6">
        <f>H311/E311</f>
        <v>2.7007365645175956E-2</v>
      </c>
      <c r="M311" t="str">
        <f>IF(G311/E311&gt;0.06,"High Risk","Normal")</f>
        <v>High Risk</v>
      </c>
    </row>
    <row r="312" spans="1:13" x14ac:dyDescent="0.3">
      <c r="A312" t="s">
        <v>37</v>
      </c>
      <c r="B312" t="s">
        <v>43</v>
      </c>
      <c r="C312" s="4">
        <v>45968</v>
      </c>
      <c r="D312" t="s">
        <v>24</v>
      </c>
      <c r="E312">
        <v>10100</v>
      </c>
      <c r="F312">
        <v>8942</v>
      </c>
      <c r="G312">
        <v>428</v>
      </c>
      <c r="H312">
        <v>190</v>
      </c>
      <c r="I312">
        <f>Table2[[#This Row],[Total_Units]]-Table2[[#This Row],[Successful_Output]]-Table2[[#This Row],[Mortality_Count]]-Table2[[#This Row],[Contamination_Count]]</f>
        <v>540</v>
      </c>
      <c r="J312" s="6">
        <f>F312/E312</f>
        <v>0.88534653465346536</v>
      </c>
      <c r="K312" s="6">
        <f>G312/E312</f>
        <v>4.2376237623762379E-2</v>
      </c>
      <c r="L312" s="6">
        <f>H312/E312</f>
        <v>1.8811881188118811E-2</v>
      </c>
      <c r="M312" t="str">
        <f>IF(G312/E312&gt;0.06,"High Risk","Normal")</f>
        <v>Normal</v>
      </c>
    </row>
    <row r="313" spans="1:13" x14ac:dyDescent="0.3">
      <c r="A313" t="s">
        <v>37</v>
      </c>
      <c r="B313" t="s">
        <v>44</v>
      </c>
      <c r="C313" s="4">
        <v>45969</v>
      </c>
      <c r="D313" t="s">
        <v>24</v>
      </c>
      <c r="E313">
        <v>12589</v>
      </c>
      <c r="F313">
        <v>10639</v>
      </c>
      <c r="G313">
        <v>858</v>
      </c>
      <c r="H313">
        <v>319</v>
      </c>
      <c r="I313">
        <f>Table2[[#This Row],[Total_Units]]-Table2[[#This Row],[Successful_Output]]-Table2[[#This Row],[Mortality_Count]]-Table2[[#This Row],[Contamination_Count]]</f>
        <v>773</v>
      </c>
      <c r="J313" s="6">
        <f>F313/E313</f>
        <v>0.84510286758281039</v>
      </c>
      <c r="K313" s="6">
        <f>G313/E313</f>
        <v>6.8154738263563427E-2</v>
      </c>
      <c r="L313" s="6">
        <f>H313/E313</f>
        <v>2.5339582174914606E-2</v>
      </c>
      <c r="M313" t="str">
        <f>IF(G313/E313&gt;0.06,"High Risk","Normal")</f>
        <v>High Risk</v>
      </c>
    </row>
    <row r="314" spans="1:13" x14ac:dyDescent="0.3">
      <c r="A314" t="s">
        <v>37</v>
      </c>
      <c r="B314" t="s">
        <v>51</v>
      </c>
      <c r="C314" s="4">
        <v>45970</v>
      </c>
      <c r="D314" t="s">
        <v>24</v>
      </c>
      <c r="E314">
        <v>8837</v>
      </c>
      <c r="F314">
        <v>7066</v>
      </c>
      <c r="G314">
        <v>641</v>
      </c>
      <c r="H314">
        <v>163</v>
      </c>
      <c r="I314">
        <f>Table2[[#This Row],[Total_Units]]-Table2[[#This Row],[Successful_Output]]-Table2[[#This Row],[Mortality_Count]]-Table2[[#This Row],[Contamination_Count]]</f>
        <v>967</v>
      </c>
      <c r="J314" s="6">
        <f>F314/E314</f>
        <v>0.79959262193051939</v>
      </c>
      <c r="K314" s="6">
        <f>G314/E314</f>
        <v>7.2535928482516693E-2</v>
      </c>
      <c r="L314" s="6">
        <f>H314/E314</f>
        <v>1.8445173701482402E-2</v>
      </c>
      <c r="M314" t="str">
        <f>IF(G314/E314&gt;0.06,"High Risk","Normal")</f>
        <v>High Risk</v>
      </c>
    </row>
    <row r="315" spans="1:13" x14ac:dyDescent="0.3">
      <c r="A315" t="s">
        <v>37</v>
      </c>
      <c r="B315" t="s">
        <v>45</v>
      </c>
      <c r="C315" s="4">
        <v>45971</v>
      </c>
      <c r="D315" t="s">
        <v>24</v>
      </c>
      <c r="E315">
        <v>10758</v>
      </c>
      <c r="F315">
        <v>8297</v>
      </c>
      <c r="G315">
        <v>475</v>
      </c>
      <c r="H315">
        <v>257</v>
      </c>
      <c r="I315">
        <f>Table2[[#This Row],[Total_Units]]-Table2[[#This Row],[Successful_Output]]-Table2[[#This Row],[Mortality_Count]]-Table2[[#This Row],[Contamination_Count]]</f>
        <v>1729</v>
      </c>
      <c r="J315" s="6">
        <f>F315/E315</f>
        <v>0.77124000743632648</v>
      </c>
      <c r="K315" s="6">
        <f>G315/E315</f>
        <v>4.4153188324967466E-2</v>
      </c>
      <c r="L315" s="6">
        <f>H315/E315</f>
        <v>2.3889198735824502E-2</v>
      </c>
      <c r="M315" t="str">
        <f>IF(G315/E315&gt;0.06,"High Risk","Normal")</f>
        <v>Normal</v>
      </c>
    </row>
    <row r="316" spans="1:13" x14ac:dyDescent="0.3">
      <c r="A316" t="s">
        <v>37</v>
      </c>
      <c r="B316" t="s">
        <v>46</v>
      </c>
      <c r="C316" s="4">
        <v>45972</v>
      </c>
      <c r="D316" t="s">
        <v>24</v>
      </c>
      <c r="E316">
        <v>11919</v>
      </c>
      <c r="F316">
        <v>10308</v>
      </c>
      <c r="G316">
        <v>608</v>
      </c>
      <c r="H316">
        <v>298</v>
      </c>
      <c r="I316">
        <f>Table2[[#This Row],[Total_Units]]-Table2[[#This Row],[Successful_Output]]-Table2[[#This Row],[Mortality_Count]]-Table2[[#This Row],[Contamination_Count]]</f>
        <v>705</v>
      </c>
      <c r="J316" s="6">
        <f>F316/E316</f>
        <v>0.86483765416561798</v>
      </c>
      <c r="K316" s="6">
        <f>G316/E316</f>
        <v>5.1010990854937495E-2</v>
      </c>
      <c r="L316" s="6">
        <f>H316/E316</f>
        <v>2.5002097491400286E-2</v>
      </c>
      <c r="M316" t="str">
        <f>IF(G316/E316&gt;0.06,"High Risk","Normal")</f>
        <v>Normal</v>
      </c>
    </row>
    <row r="317" spans="1:13" x14ac:dyDescent="0.3">
      <c r="A317" t="s">
        <v>37</v>
      </c>
      <c r="B317" t="s">
        <v>52</v>
      </c>
      <c r="C317" s="4">
        <v>45973</v>
      </c>
      <c r="D317" t="s">
        <v>24</v>
      </c>
      <c r="E317">
        <v>11972</v>
      </c>
      <c r="F317">
        <v>9452</v>
      </c>
      <c r="G317">
        <v>630</v>
      </c>
      <c r="H317">
        <v>180</v>
      </c>
      <c r="I317">
        <f>Table2[[#This Row],[Total_Units]]-Table2[[#This Row],[Successful_Output]]-Table2[[#This Row],[Mortality_Count]]-Table2[[#This Row],[Contamination_Count]]</f>
        <v>1710</v>
      </c>
      <c r="J317" s="6">
        <f>F317/E317</f>
        <v>0.78950885399264947</v>
      </c>
      <c r="K317" s="6">
        <f>G317/E317</f>
        <v>5.2622786501837618E-2</v>
      </c>
      <c r="L317" s="6">
        <f>H317/E317</f>
        <v>1.5035081857667892E-2</v>
      </c>
      <c r="M317" t="str">
        <f>IF(G317/E317&gt;0.06,"High Risk","Normal")</f>
        <v>Normal</v>
      </c>
    </row>
    <row r="318" spans="1:13" x14ac:dyDescent="0.3">
      <c r="A318" t="s">
        <v>37</v>
      </c>
      <c r="B318" t="s">
        <v>47</v>
      </c>
      <c r="C318" s="4">
        <v>45974</v>
      </c>
      <c r="D318" t="s">
        <v>24</v>
      </c>
      <c r="E318">
        <v>11933</v>
      </c>
      <c r="F318">
        <v>10937</v>
      </c>
      <c r="G318">
        <v>544</v>
      </c>
      <c r="H318">
        <v>317</v>
      </c>
      <c r="I318">
        <f>Table2[[#This Row],[Total_Units]]-Table2[[#This Row],[Successful_Output]]-Table2[[#This Row],[Mortality_Count]]-Table2[[#This Row],[Contamination_Count]]</f>
        <v>135</v>
      </c>
      <c r="J318" s="6">
        <f>F318/E318</f>
        <v>0.91653398139612841</v>
      </c>
      <c r="K318" s="6">
        <f>G318/E318</f>
        <v>4.5587865582837513E-2</v>
      </c>
      <c r="L318" s="6">
        <f>H318/E318</f>
        <v>2.6564987848822594E-2</v>
      </c>
      <c r="M318" t="str">
        <f>IF(G318/E318&gt;0.06,"High Risk","Normal")</f>
        <v>Normal</v>
      </c>
    </row>
    <row r="319" spans="1:13" x14ac:dyDescent="0.3">
      <c r="A319" t="s">
        <v>37</v>
      </c>
      <c r="B319" t="s">
        <v>48</v>
      </c>
      <c r="C319" s="4">
        <v>45975</v>
      </c>
      <c r="D319" t="s">
        <v>24</v>
      </c>
      <c r="E319">
        <v>10061</v>
      </c>
      <c r="F319">
        <v>8427</v>
      </c>
      <c r="G319">
        <v>676</v>
      </c>
      <c r="H319">
        <v>88</v>
      </c>
      <c r="I319">
        <f>Table2[[#This Row],[Total_Units]]-Table2[[#This Row],[Successful_Output]]-Table2[[#This Row],[Mortality_Count]]-Table2[[#This Row],[Contamination_Count]]</f>
        <v>870</v>
      </c>
      <c r="J319" s="6">
        <f>F319/E319</f>
        <v>0.83759069674982611</v>
      </c>
      <c r="K319" s="6">
        <f>G319/E319</f>
        <v>6.7190140145114804E-2</v>
      </c>
      <c r="L319" s="6">
        <f>H319/E319</f>
        <v>8.7466454626776661E-3</v>
      </c>
      <c r="M319" t="str">
        <f>IF(G319/E319&gt;0.06,"High Risk","Normal")</f>
        <v>High Risk</v>
      </c>
    </row>
    <row r="320" spans="1:13" x14ac:dyDescent="0.3">
      <c r="A320" t="s">
        <v>37</v>
      </c>
      <c r="B320" t="s">
        <v>54</v>
      </c>
      <c r="C320" s="4">
        <v>45976</v>
      </c>
      <c r="D320" t="s">
        <v>24</v>
      </c>
      <c r="E320">
        <v>9381</v>
      </c>
      <c r="F320">
        <v>7999</v>
      </c>
      <c r="G320">
        <v>314</v>
      </c>
      <c r="H320">
        <v>264</v>
      </c>
      <c r="I320">
        <f>Table2[[#This Row],[Total_Units]]-Table2[[#This Row],[Successful_Output]]-Table2[[#This Row],[Mortality_Count]]-Table2[[#This Row],[Contamination_Count]]</f>
        <v>804</v>
      </c>
      <c r="J320" s="6">
        <f>F320/E320</f>
        <v>0.85268095085811746</v>
      </c>
      <c r="K320" s="6">
        <f>G320/E320</f>
        <v>3.3471911310094873E-2</v>
      </c>
      <c r="L320" s="6">
        <f>H320/E320</f>
        <v>2.8141989126958745E-2</v>
      </c>
      <c r="M320" t="str">
        <f>IF(G320/E320&gt;0.06,"High Risk","Normal")</f>
        <v>Normal</v>
      </c>
    </row>
    <row r="321" spans="1:13" x14ac:dyDescent="0.3">
      <c r="A321" t="s">
        <v>37</v>
      </c>
      <c r="B321" t="s">
        <v>58</v>
      </c>
      <c r="C321" s="4">
        <v>45977</v>
      </c>
      <c r="D321" t="s">
        <v>24</v>
      </c>
      <c r="E321">
        <v>11382</v>
      </c>
      <c r="F321">
        <v>9842</v>
      </c>
      <c r="G321">
        <v>254</v>
      </c>
      <c r="H321">
        <v>185</v>
      </c>
      <c r="I321">
        <f>Table2[[#This Row],[Total_Units]]-Table2[[#This Row],[Successful_Output]]-Table2[[#This Row],[Mortality_Count]]-Table2[[#This Row],[Contamination_Count]]</f>
        <v>1101</v>
      </c>
      <c r="J321" s="6">
        <f>F321/E321</f>
        <v>0.86469864698646981</v>
      </c>
      <c r="K321" s="6">
        <f>G321/E321</f>
        <v>2.2315937445088738E-2</v>
      </c>
      <c r="L321" s="6">
        <f>H321/E321</f>
        <v>1.6253733965911087E-2</v>
      </c>
      <c r="M321" t="str">
        <f>IF(G321/E321&gt;0.06,"High Risk","Normal")</f>
        <v>Normal</v>
      </c>
    </row>
    <row r="322" spans="1:13" x14ac:dyDescent="0.3">
      <c r="A322" t="s">
        <v>37</v>
      </c>
      <c r="B322" t="s">
        <v>59</v>
      </c>
      <c r="C322" s="4">
        <v>45978</v>
      </c>
      <c r="D322" t="s">
        <v>24</v>
      </c>
      <c r="E322">
        <v>10883</v>
      </c>
      <c r="F322">
        <v>8869</v>
      </c>
      <c r="G322">
        <v>655</v>
      </c>
      <c r="H322">
        <v>128</v>
      </c>
      <c r="I322">
        <f>Table2[[#This Row],[Total_Units]]-Table2[[#This Row],[Successful_Output]]-Table2[[#This Row],[Mortality_Count]]-Table2[[#This Row],[Contamination_Count]]</f>
        <v>1231</v>
      </c>
      <c r="J322" s="6">
        <f>F322/E322</f>
        <v>0.81494073325369842</v>
      </c>
      <c r="K322" s="6">
        <f>G322/E322</f>
        <v>6.0185610585316546E-2</v>
      </c>
      <c r="L322" s="6">
        <f>H322/E322</f>
        <v>1.1761462831939722E-2</v>
      </c>
      <c r="M322" t="str">
        <f>IF(G322/E322&gt;0.06,"High Risk","Normal")</f>
        <v>High Risk</v>
      </c>
    </row>
    <row r="323" spans="1:13" x14ac:dyDescent="0.3">
      <c r="A323" t="s">
        <v>37</v>
      </c>
      <c r="B323" t="s">
        <v>56</v>
      </c>
      <c r="C323" s="4">
        <v>45979</v>
      </c>
      <c r="D323" t="s">
        <v>24</v>
      </c>
      <c r="E323">
        <v>8681</v>
      </c>
      <c r="F323">
        <v>6630</v>
      </c>
      <c r="G323">
        <v>426</v>
      </c>
      <c r="H323">
        <v>249</v>
      </c>
      <c r="I323">
        <f>Table2[[#This Row],[Total_Units]]-Table2[[#This Row],[Successful_Output]]-Table2[[#This Row],[Mortality_Count]]-Table2[[#This Row],[Contamination_Count]]</f>
        <v>1376</v>
      </c>
      <c r="J323" s="6">
        <f>F323/E323</f>
        <v>0.7637368966708904</v>
      </c>
      <c r="K323" s="6">
        <f>G323/E323</f>
        <v>4.9072687478401107E-2</v>
      </c>
      <c r="L323" s="6">
        <f>H323/E323</f>
        <v>2.8683331413431632E-2</v>
      </c>
      <c r="M323" t="str">
        <f>IF(G323/E323&gt;0.06,"High Risk","Normal")</f>
        <v>Normal</v>
      </c>
    </row>
    <row r="324" spans="1:13" x14ac:dyDescent="0.3">
      <c r="A324" t="s">
        <v>37</v>
      </c>
      <c r="B324" t="s">
        <v>60</v>
      </c>
      <c r="C324" s="4">
        <v>45980</v>
      </c>
      <c r="D324" t="s">
        <v>24</v>
      </c>
      <c r="E324">
        <v>11240</v>
      </c>
      <c r="F324">
        <v>8780</v>
      </c>
      <c r="G324">
        <v>331</v>
      </c>
      <c r="H324">
        <v>305</v>
      </c>
      <c r="I324">
        <f>Table2[[#This Row],[Total_Units]]-Table2[[#This Row],[Successful_Output]]-Table2[[#This Row],[Mortality_Count]]-Table2[[#This Row],[Contamination_Count]]</f>
        <v>1824</v>
      </c>
      <c r="J324" s="6">
        <f>F324/E324</f>
        <v>0.78113879003558717</v>
      </c>
      <c r="K324" s="6">
        <f>G324/E324</f>
        <v>2.9448398576512456E-2</v>
      </c>
      <c r="L324" s="6">
        <f>H324/E324</f>
        <v>2.7135231316725978E-2</v>
      </c>
      <c r="M324" t="str">
        <f>IF(G324/E324&gt;0.06,"High Risk","Normal")</f>
        <v>Normal</v>
      </c>
    </row>
    <row r="325" spans="1:13" x14ac:dyDescent="0.3">
      <c r="A325" t="s">
        <v>37</v>
      </c>
      <c r="B325" t="s">
        <v>61</v>
      </c>
      <c r="C325" s="4">
        <v>45981</v>
      </c>
      <c r="D325" t="s">
        <v>24</v>
      </c>
      <c r="E325">
        <v>11076</v>
      </c>
      <c r="F325">
        <v>9763</v>
      </c>
      <c r="G325">
        <v>326</v>
      </c>
      <c r="H325">
        <v>106</v>
      </c>
      <c r="I325">
        <f>Table2[[#This Row],[Total_Units]]-Table2[[#This Row],[Successful_Output]]-Table2[[#This Row],[Mortality_Count]]-Table2[[#This Row],[Contamination_Count]]</f>
        <v>881</v>
      </c>
      <c r="J325" s="6">
        <f>F325/E325</f>
        <v>0.88145539906103287</v>
      </c>
      <c r="K325" s="6">
        <f>G325/E325</f>
        <v>2.9433008306247743E-2</v>
      </c>
      <c r="L325" s="6">
        <f>H325/E325</f>
        <v>9.5702419646081626E-3</v>
      </c>
      <c r="M325" t="str">
        <f>IF(G325/E325&gt;0.06,"High Risk","Normal")</f>
        <v>Normal</v>
      </c>
    </row>
    <row r="326" spans="1:13" x14ac:dyDescent="0.3">
      <c r="A326" t="s">
        <v>37</v>
      </c>
      <c r="B326" t="s">
        <v>57</v>
      </c>
      <c r="C326" s="4">
        <v>45982</v>
      </c>
      <c r="D326" t="s">
        <v>24</v>
      </c>
      <c r="E326">
        <v>11778</v>
      </c>
      <c r="F326">
        <v>9781</v>
      </c>
      <c r="G326">
        <v>821</v>
      </c>
      <c r="H326">
        <v>60</v>
      </c>
      <c r="I326">
        <f>Table2[[#This Row],[Total_Units]]-Table2[[#This Row],[Successful_Output]]-Table2[[#This Row],[Mortality_Count]]-Table2[[#This Row],[Contamination_Count]]</f>
        <v>1116</v>
      </c>
      <c r="J326" s="6">
        <f>F326/E326</f>
        <v>0.83044659534725762</v>
      </c>
      <c r="K326" s="6">
        <f>G326/E326</f>
        <v>6.9706231957887582E-2</v>
      </c>
      <c r="L326" s="6">
        <f>H326/E326</f>
        <v>5.0942435048395313E-3</v>
      </c>
      <c r="M326" t="str">
        <f>IF(G326/E326&gt;0.06,"High Risk","Normal")</f>
        <v>High Risk</v>
      </c>
    </row>
    <row r="327" spans="1:13" x14ac:dyDescent="0.3">
      <c r="A327" t="s">
        <v>37</v>
      </c>
      <c r="B327" t="s">
        <v>62</v>
      </c>
      <c r="C327" s="4">
        <v>45983</v>
      </c>
      <c r="D327" t="s">
        <v>24</v>
      </c>
      <c r="E327">
        <v>8407</v>
      </c>
      <c r="F327">
        <v>7646</v>
      </c>
      <c r="G327">
        <v>463</v>
      </c>
      <c r="H327">
        <v>174</v>
      </c>
      <c r="I327">
        <f>Table2[[#This Row],[Total_Units]]-Table2[[#This Row],[Successful_Output]]-Table2[[#This Row],[Mortality_Count]]-Table2[[#This Row],[Contamination_Count]]</f>
        <v>124</v>
      </c>
      <c r="J327" s="6">
        <f>F327/E327</f>
        <v>0.90948019507553235</v>
      </c>
      <c r="K327" s="6">
        <f>G327/E327</f>
        <v>5.5073153324610442E-2</v>
      </c>
      <c r="L327" s="6">
        <f>H327/E327</f>
        <v>2.069703818246699E-2</v>
      </c>
      <c r="M327" t="str">
        <f>IF(G327/E327&gt;0.06,"High Risk","Normal")</f>
        <v>Normal</v>
      </c>
    </row>
    <row r="328" spans="1:13" x14ac:dyDescent="0.3">
      <c r="A328" t="s">
        <v>37</v>
      </c>
      <c r="B328" t="s">
        <v>63</v>
      </c>
      <c r="C328" s="4">
        <v>45984</v>
      </c>
      <c r="D328" t="s">
        <v>24</v>
      </c>
      <c r="E328">
        <v>9093</v>
      </c>
      <c r="F328">
        <v>7580</v>
      </c>
      <c r="G328">
        <v>447</v>
      </c>
      <c r="H328">
        <v>236</v>
      </c>
      <c r="I328">
        <f>Table2[[#This Row],[Total_Units]]-Table2[[#This Row],[Successful_Output]]-Table2[[#This Row],[Mortality_Count]]-Table2[[#This Row],[Contamination_Count]]</f>
        <v>830</v>
      </c>
      <c r="J328" s="6">
        <f>F328/E328</f>
        <v>0.83360827009787752</v>
      </c>
      <c r="K328" s="6">
        <f>G328/E328</f>
        <v>4.9158693500494885E-2</v>
      </c>
      <c r="L328" s="6">
        <f>H328/E328</f>
        <v>2.5954030572968217E-2</v>
      </c>
      <c r="M328" t="str">
        <f>IF(G328/E328&gt;0.06,"High Risk","Normal")</f>
        <v>Normal</v>
      </c>
    </row>
    <row r="329" spans="1:13" x14ac:dyDescent="0.3">
      <c r="A329" t="s">
        <v>37</v>
      </c>
      <c r="B329" t="s">
        <v>55</v>
      </c>
      <c r="C329" s="4">
        <v>45985</v>
      </c>
      <c r="D329" t="s">
        <v>24</v>
      </c>
      <c r="E329">
        <v>11685</v>
      </c>
      <c r="F329">
        <v>9140</v>
      </c>
      <c r="G329">
        <v>666</v>
      </c>
      <c r="H329">
        <v>133</v>
      </c>
      <c r="I329">
        <f>Table2[[#This Row],[Total_Units]]-Table2[[#This Row],[Successful_Output]]-Table2[[#This Row],[Mortality_Count]]-Table2[[#This Row],[Contamination_Count]]</f>
        <v>1746</v>
      </c>
      <c r="J329" s="6">
        <f>F329/E329</f>
        <v>0.78219940094137785</v>
      </c>
      <c r="K329" s="6">
        <f>G329/E329</f>
        <v>5.6996148908857507E-2</v>
      </c>
      <c r="L329" s="6">
        <f>H329/E329</f>
        <v>1.1382113821138212E-2</v>
      </c>
      <c r="M329" t="str">
        <f>IF(G329/E329&gt;0.06,"High Risk","Normal")</f>
        <v>Normal</v>
      </c>
    </row>
    <row r="330" spans="1:13" x14ac:dyDescent="0.3">
      <c r="A330" t="s">
        <v>37</v>
      </c>
      <c r="B330" t="s">
        <v>64</v>
      </c>
      <c r="C330" s="4">
        <v>45986</v>
      </c>
      <c r="D330" t="s">
        <v>24</v>
      </c>
      <c r="E330">
        <v>9926</v>
      </c>
      <c r="F330">
        <v>7863</v>
      </c>
      <c r="G330">
        <v>630</v>
      </c>
      <c r="H330">
        <v>50</v>
      </c>
      <c r="I330">
        <f>Table2[[#This Row],[Total_Units]]-Table2[[#This Row],[Successful_Output]]-Table2[[#This Row],[Mortality_Count]]-Table2[[#This Row],[Contamination_Count]]</f>
        <v>1383</v>
      </c>
      <c r="J330" s="6">
        <f>F330/E330</f>
        <v>0.79216199879105376</v>
      </c>
      <c r="K330" s="6">
        <f>G330/E330</f>
        <v>6.3469675599435824E-2</v>
      </c>
      <c r="L330" s="6">
        <f>H330/E330</f>
        <v>5.0372758412250652E-3</v>
      </c>
      <c r="M330" t="str">
        <f>IF(G330/E330&gt;0.06,"High Risk","Normal")</f>
        <v>High Risk</v>
      </c>
    </row>
    <row r="331" spans="1:13" x14ac:dyDescent="0.3">
      <c r="A331" t="s">
        <v>37</v>
      </c>
      <c r="B331" t="s">
        <v>65</v>
      </c>
      <c r="C331" s="4">
        <v>45987</v>
      </c>
      <c r="D331" t="s">
        <v>24</v>
      </c>
      <c r="E331">
        <v>11954</v>
      </c>
      <c r="F331">
        <v>9155</v>
      </c>
      <c r="G331">
        <v>414</v>
      </c>
      <c r="H331">
        <v>84</v>
      </c>
      <c r="I331">
        <f>Table2[[#This Row],[Total_Units]]-Table2[[#This Row],[Successful_Output]]-Table2[[#This Row],[Mortality_Count]]-Table2[[#This Row],[Contamination_Count]]</f>
        <v>2301</v>
      </c>
      <c r="J331" s="6">
        <f>F331/E331</f>
        <v>0.76585243433160444</v>
      </c>
      <c r="K331" s="6">
        <f>G331/E331</f>
        <v>3.4632758909151747E-2</v>
      </c>
      <c r="L331" s="6">
        <f>H331/E331</f>
        <v>7.0269365902626739E-3</v>
      </c>
      <c r="M331" t="str">
        <f>IF(G331/E331&gt;0.06,"High Risk","Normal")</f>
        <v>Normal</v>
      </c>
    </row>
    <row r="332" spans="1:13" x14ac:dyDescent="0.3">
      <c r="A332" t="s">
        <v>37</v>
      </c>
      <c r="B332" t="s">
        <v>53</v>
      </c>
      <c r="C332" s="4">
        <v>45988</v>
      </c>
      <c r="D332" t="s">
        <v>24</v>
      </c>
      <c r="E332">
        <v>9738</v>
      </c>
      <c r="F332">
        <v>8922</v>
      </c>
      <c r="G332">
        <v>470</v>
      </c>
      <c r="H332">
        <v>152</v>
      </c>
      <c r="I332">
        <f>Table2[[#This Row],[Total_Units]]-Table2[[#This Row],[Successful_Output]]-Table2[[#This Row],[Mortality_Count]]-Table2[[#This Row],[Contamination_Count]]</f>
        <v>194</v>
      </c>
      <c r="J332" s="6">
        <f>F332/E332</f>
        <v>0.91620455945779422</v>
      </c>
      <c r="K332" s="6">
        <f>G332/E332</f>
        <v>4.8264530704456771E-2</v>
      </c>
      <c r="L332" s="6">
        <f>H332/E332</f>
        <v>1.560895461080304E-2</v>
      </c>
      <c r="M332" t="str">
        <f>IF(G332/E332&gt;0.06,"High Risk","Normal")</f>
        <v>Normal</v>
      </c>
    </row>
    <row r="333" spans="1:13" x14ac:dyDescent="0.3">
      <c r="A333" t="s">
        <v>37</v>
      </c>
      <c r="B333" t="s">
        <v>66</v>
      </c>
      <c r="C333" s="4">
        <v>45989</v>
      </c>
      <c r="D333" t="s">
        <v>24</v>
      </c>
      <c r="E333">
        <v>11715</v>
      </c>
      <c r="F333">
        <v>9067</v>
      </c>
      <c r="G333">
        <v>914</v>
      </c>
      <c r="H333">
        <v>208</v>
      </c>
      <c r="I333">
        <f>Table2[[#This Row],[Total_Units]]-Table2[[#This Row],[Successful_Output]]-Table2[[#This Row],[Mortality_Count]]-Table2[[#This Row],[Contamination_Count]]</f>
        <v>1526</v>
      </c>
      <c r="J333" s="6">
        <f>F333/E333</f>
        <v>0.7739650021340162</v>
      </c>
      <c r="K333" s="6">
        <f>G333/E333</f>
        <v>7.801963294921041E-2</v>
      </c>
      <c r="L333" s="6">
        <f>H333/E333</f>
        <v>1.7755014938113531E-2</v>
      </c>
      <c r="M333" t="str">
        <f>IF(G333/E333&gt;0.06,"High Risk","Normal")</f>
        <v>High Risk</v>
      </c>
    </row>
    <row r="334" spans="1:13" x14ac:dyDescent="0.3">
      <c r="A334" t="s">
        <v>37</v>
      </c>
      <c r="B334" t="s">
        <v>67</v>
      </c>
      <c r="C334" s="4">
        <v>45990</v>
      </c>
      <c r="D334" t="s">
        <v>24</v>
      </c>
      <c r="E334">
        <v>11582</v>
      </c>
      <c r="F334">
        <v>9845</v>
      </c>
      <c r="G334">
        <v>631</v>
      </c>
      <c r="H334">
        <v>140</v>
      </c>
      <c r="I334">
        <f>Table2[[#This Row],[Total_Units]]-Table2[[#This Row],[Successful_Output]]-Table2[[#This Row],[Mortality_Count]]-Table2[[#This Row],[Contamination_Count]]</f>
        <v>966</v>
      </c>
      <c r="J334" s="6">
        <f>F334/E334</f>
        <v>0.85002590226213093</v>
      </c>
      <c r="K334" s="6">
        <f>G334/E334</f>
        <v>5.4481091348644449E-2</v>
      </c>
      <c r="L334" s="6">
        <f>H334/E334</f>
        <v>1.2087722327749956E-2</v>
      </c>
      <c r="M334" t="str">
        <f>IF(G334/E334&gt;0.06,"High Risk","Normal")</f>
        <v>Normal</v>
      </c>
    </row>
    <row r="335" spans="1:13" x14ac:dyDescent="0.3">
      <c r="A335" t="s">
        <v>37</v>
      </c>
      <c r="B335" t="s">
        <v>68</v>
      </c>
      <c r="C335" s="4">
        <v>45991</v>
      </c>
      <c r="D335" t="s">
        <v>24</v>
      </c>
      <c r="E335">
        <v>9255</v>
      </c>
      <c r="F335">
        <v>7139</v>
      </c>
      <c r="G335">
        <v>615</v>
      </c>
      <c r="H335">
        <v>124</v>
      </c>
      <c r="I335">
        <f>Table2[[#This Row],[Total_Units]]-Table2[[#This Row],[Successful_Output]]-Table2[[#This Row],[Mortality_Count]]-Table2[[#This Row],[Contamination_Count]]</f>
        <v>1377</v>
      </c>
      <c r="J335" s="6">
        <f>F335/E335</f>
        <v>0.77136682874122098</v>
      </c>
      <c r="K335" s="6">
        <f>G335/E335</f>
        <v>6.6450567260940036E-2</v>
      </c>
      <c r="L335" s="6">
        <f>H335/E335</f>
        <v>1.3398163155051324E-2</v>
      </c>
      <c r="M335" t="str">
        <f>IF(G335/E335&gt;0.06,"High Risk","Normal")</f>
        <v>High Risk</v>
      </c>
    </row>
    <row r="336" spans="1:13" x14ac:dyDescent="0.3">
      <c r="A336" t="s">
        <v>38</v>
      </c>
      <c r="B336" t="s">
        <v>39</v>
      </c>
      <c r="C336" s="4">
        <v>45992</v>
      </c>
      <c r="D336" t="s">
        <v>25</v>
      </c>
      <c r="E336">
        <v>10124</v>
      </c>
      <c r="F336">
        <v>7700</v>
      </c>
      <c r="G336">
        <v>545</v>
      </c>
      <c r="H336">
        <v>273</v>
      </c>
      <c r="I336">
        <f>Table2[[#This Row],[Total_Units]]-Table2[[#This Row],[Successful_Output]]-Table2[[#This Row],[Mortality_Count]]-Table2[[#This Row],[Contamination_Count]]</f>
        <v>1606</v>
      </c>
      <c r="J336" s="6">
        <f>F336/E336</f>
        <v>0.76056894508099571</v>
      </c>
      <c r="K336" s="6">
        <f>G336/E336</f>
        <v>5.3832477281706835E-2</v>
      </c>
      <c r="L336" s="6">
        <f>H336/E336</f>
        <v>2.6965626234689847E-2</v>
      </c>
      <c r="M336" t="str">
        <f>IF(G336/E336&gt;0.06,"High Risk","Normal")</f>
        <v>Normal</v>
      </c>
    </row>
    <row r="337" spans="1:13" x14ac:dyDescent="0.3">
      <c r="A337" t="s">
        <v>38</v>
      </c>
      <c r="B337" t="s">
        <v>40</v>
      </c>
      <c r="C337" s="4">
        <v>45993</v>
      </c>
      <c r="D337" t="s">
        <v>25</v>
      </c>
      <c r="E337">
        <v>11709</v>
      </c>
      <c r="F337">
        <v>10462</v>
      </c>
      <c r="G337">
        <v>766</v>
      </c>
      <c r="H337">
        <v>300</v>
      </c>
      <c r="I337">
        <f>Table2[[#This Row],[Total_Units]]-Table2[[#This Row],[Successful_Output]]-Table2[[#This Row],[Mortality_Count]]-Table2[[#This Row],[Contamination_Count]]</f>
        <v>181</v>
      </c>
      <c r="J337" s="6">
        <f>F337/E337</f>
        <v>0.89350072593731322</v>
      </c>
      <c r="K337" s="6">
        <f>G337/E337</f>
        <v>6.5419762575796389E-2</v>
      </c>
      <c r="L337" s="6">
        <f>H337/E337</f>
        <v>2.5621316935690495E-2</v>
      </c>
      <c r="M337" t="str">
        <f>IF(G337/E337&gt;0.06,"High Risk","Normal")</f>
        <v>High Risk</v>
      </c>
    </row>
    <row r="338" spans="1:13" x14ac:dyDescent="0.3">
      <c r="A338" t="s">
        <v>38</v>
      </c>
      <c r="B338" t="s">
        <v>49</v>
      </c>
      <c r="C338" s="4">
        <v>45994</v>
      </c>
      <c r="D338" t="s">
        <v>25</v>
      </c>
      <c r="E338">
        <v>9766</v>
      </c>
      <c r="F338">
        <v>8835</v>
      </c>
      <c r="G338">
        <v>224</v>
      </c>
      <c r="H338">
        <v>262</v>
      </c>
      <c r="I338">
        <f>Table2[[#This Row],[Total_Units]]-Table2[[#This Row],[Successful_Output]]-Table2[[#This Row],[Mortality_Count]]-Table2[[#This Row],[Contamination_Count]]</f>
        <v>445</v>
      </c>
      <c r="J338" s="6">
        <f>F338/E338</f>
        <v>0.90466926070038911</v>
      </c>
      <c r="K338" s="6">
        <f>G338/E338</f>
        <v>2.293671922998157E-2</v>
      </c>
      <c r="L338" s="6">
        <f>H338/E338</f>
        <v>2.6827769813639157E-2</v>
      </c>
      <c r="M338" t="str">
        <f>IF(G338/E338&gt;0.06,"High Risk","Normal")</f>
        <v>Normal</v>
      </c>
    </row>
    <row r="339" spans="1:13" x14ac:dyDescent="0.3">
      <c r="A339" t="s">
        <v>38</v>
      </c>
      <c r="B339" t="s">
        <v>41</v>
      </c>
      <c r="C339" s="4">
        <v>45995</v>
      </c>
      <c r="D339" t="s">
        <v>25</v>
      </c>
      <c r="E339">
        <v>11542</v>
      </c>
      <c r="F339">
        <v>9479</v>
      </c>
      <c r="G339">
        <v>660</v>
      </c>
      <c r="H339">
        <v>69</v>
      </c>
      <c r="I339">
        <f>Table2[[#This Row],[Total_Units]]-Table2[[#This Row],[Successful_Output]]-Table2[[#This Row],[Mortality_Count]]-Table2[[#This Row],[Contamination_Count]]</f>
        <v>1334</v>
      </c>
      <c r="J339" s="6">
        <f>F339/E339</f>
        <v>0.82126147981285735</v>
      </c>
      <c r="K339" s="6">
        <f>G339/E339</f>
        <v>5.7182464044359727E-2</v>
      </c>
      <c r="L339" s="6">
        <f>H339/E339</f>
        <v>5.9781666955466993E-3</v>
      </c>
      <c r="M339" t="str">
        <f>IF(G339/E339&gt;0.06,"High Risk","Normal")</f>
        <v>Normal</v>
      </c>
    </row>
    <row r="340" spans="1:13" x14ac:dyDescent="0.3">
      <c r="A340" t="s">
        <v>38</v>
      </c>
      <c r="B340" t="s">
        <v>42</v>
      </c>
      <c r="C340" s="4">
        <v>45996</v>
      </c>
      <c r="D340" t="s">
        <v>25</v>
      </c>
      <c r="E340">
        <v>9703</v>
      </c>
      <c r="F340">
        <v>7693</v>
      </c>
      <c r="G340">
        <v>300</v>
      </c>
      <c r="H340">
        <v>113</v>
      </c>
      <c r="I340">
        <f>Table2[[#This Row],[Total_Units]]-Table2[[#This Row],[Successful_Output]]-Table2[[#This Row],[Mortality_Count]]-Table2[[#This Row],[Contamination_Count]]</f>
        <v>1597</v>
      </c>
      <c r="J340" s="6">
        <f>F340/E340</f>
        <v>0.79284757291559316</v>
      </c>
      <c r="K340" s="6">
        <f>G340/E340</f>
        <v>3.0918272699165205E-2</v>
      </c>
      <c r="L340" s="6">
        <f>H340/E340</f>
        <v>1.1645882716685561E-2</v>
      </c>
      <c r="M340" t="str">
        <f>IF(G340/E340&gt;0.06,"High Risk","Normal")</f>
        <v>Normal</v>
      </c>
    </row>
    <row r="341" spans="1:13" x14ac:dyDescent="0.3">
      <c r="A341" t="s">
        <v>38</v>
      </c>
      <c r="B341" t="s">
        <v>50</v>
      </c>
      <c r="C341" s="4">
        <v>45997</v>
      </c>
      <c r="D341" t="s">
        <v>25</v>
      </c>
      <c r="E341">
        <v>9147</v>
      </c>
      <c r="F341">
        <v>8285</v>
      </c>
      <c r="G341">
        <v>292</v>
      </c>
      <c r="H341">
        <v>145</v>
      </c>
      <c r="I341">
        <f>Table2[[#This Row],[Total_Units]]-Table2[[#This Row],[Successful_Output]]-Table2[[#This Row],[Mortality_Count]]-Table2[[#This Row],[Contamination_Count]]</f>
        <v>425</v>
      </c>
      <c r="J341" s="6">
        <f>F341/E341</f>
        <v>0.90576145184213408</v>
      </c>
      <c r="K341" s="6">
        <f>G341/E341</f>
        <v>3.1923034874822349E-2</v>
      </c>
      <c r="L341" s="6">
        <f>H341/E341</f>
        <v>1.5852191975511097E-2</v>
      </c>
      <c r="M341" t="str">
        <f>IF(G341/E341&gt;0.06,"High Risk","Normal")</f>
        <v>Normal</v>
      </c>
    </row>
    <row r="342" spans="1:13" x14ac:dyDescent="0.3">
      <c r="A342" t="s">
        <v>38</v>
      </c>
      <c r="B342" t="s">
        <v>43</v>
      </c>
      <c r="C342" s="4">
        <v>45998</v>
      </c>
      <c r="D342" t="s">
        <v>25</v>
      </c>
      <c r="E342">
        <v>10087</v>
      </c>
      <c r="F342">
        <v>8880</v>
      </c>
      <c r="G342">
        <v>739</v>
      </c>
      <c r="H342">
        <v>82</v>
      </c>
      <c r="I342">
        <f>Table2[[#This Row],[Total_Units]]-Table2[[#This Row],[Successful_Output]]-Table2[[#This Row],[Mortality_Count]]-Table2[[#This Row],[Contamination_Count]]</f>
        <v>386</v>
      </c>
      <c r="J342" s="6">
        <f>F342/E342</f>
        <v>0.88034103301278877</v>
      </c>
      <c r="K342" s="6">
        <f>G342/E342</f>
        <v>7.3262615247348076E-2</v>
      </c>
      <c r="L342" s="6">
        <f>H342/E342</f>
        <v>8.1292753048478241E-3</v>
      </c>
      <c r="M342" t="str">
        <f>IF(G342/E342&gt;0.06,"High Risk","Normal")</f>
        <v>High Risk</v>
      </c>
    </row>
    <row r="343" spans="1:13" x14ac:dyDescent="0.3">
      <c r="A343" t="s">
        <v>38</v>
      </c>
      <c r="B343" t="s">
        <v>44</v>
      </c>
      <c r="C343" s="4">
        <v>45999</v>
      </c>
      <c r="D343" t="s">
        <v>25</v>
      </c>
      <c r="E343">
        <v>9333</v>
      </c>
      <c r="F343">
        <v>7759</v>
      </c>
      <c r="G343">
        <v>604</v>
      </c>
      <c r="H343">
        <v>204</v>
      </c>
      <c r="I343">
        <f>Table2[[#This Row],[Total_Units]]-Table2[[#This Row],[Successful_Output]]-Table2[[#This Row],[Mortality_Count]]-Table2[[#This Row],[Contamination_Count]]</f>
        <v>766</v>
      </c>
      <c r="J343" s="6">
        <f>F343/E343</f>
        <v>0.83135111968284581</v>
      </c>
      <c r="K343" s="6">
        <f>G343/E343</f>
        <v>6.4716597021322195E-2</v>
      </c>
      <c r="L343" s="6">
        <f>H343/E343</f>
        <v>2.185792349726776E-2</v>
      </c>
      <c r="M343" t="str">
        <f>IF(G343/E343&gt;0.06,"High Risk","Normal")</f>
        <v>High Risk</v>
      </c>
    </row>
    <row r="344" spans="1:13" x14ac:dyDescent="0.3">
      <c r="A344" t="s">
        <v>38</v>
      </c>
      <c r="B344" t="s">
        <v>51</v>
      </c>
      <c r="C344" s="4">
        <v>46000</v>
      </c>
      <c r="D344" t="s">
        <v>25</v>
      </c>
      <c r="E344">
        <v>11912</v>
      </c>
      <c r="F344">
        <v>9254</v>
      </c>
      <c r="G344">
        <v>296</v>
      </c>
      <c r="H344">
        <v>341</v>
      </c>
      <c r="I344">
        <f>Table2[[#This Row],[Total_Units]]-Table2[[#This Row],[Successful_Output]]-Table2[[#This Row],[Mortality_Count]]-Table2[[#This Row],[Contamination_Count]]</f>
        <v>2021</v>
      </c>
      <c r="J344" s="6">
        <f>F344/E344</f>
        <v>0.77686366689053055</v>
      </c>
      <c r="K344" s="6">
        <f>G344/E344</f>
        <v>2.4848891873740765E-2</v>
      </c>
      <c r="L344" s="6">
        <f>H344/E344</f>
        <v>2.8626595030221625E-2</v>
      </c>
      <c r="M344" t="str">
        <f>IF(G344/E344&gt;0.06,"High Risk","Normal")</f>
        <v>Normal</v>
      </c>
    </row>
    <row r="345" spans="1:13" x14ac:dyDescent="0.3">
      <c r="A345" t="s">
        <v>38</v>
      </c>
      <c r="B345" t="s">
        <v>45</v>
      </c>
      <c r="C345" s="4">
        <v>46001</v>
      </c>
      <c r="D345" t="s">
        <v>25</v>
      </c>
      <c r="E345">
        <v>8884</v>
      </c>
      <c r="F345">
        <v>6868</v>
      </c>
      <c r="G345">
        <v>219</v>
      </c>
      <c r="H345">
        <v>76</v>
      </c>
      <c r="I345">
        <f>Table2[[#This Row],[Total_Units]]-Table2[[#This Row],[Successful_Output]]-Table2[[#This Row],[Mortality_Count]]-Table2[[#This Row],[Contamination_Count]]</f>
        <v>1721</v>
      </c>
      <c r="J345" s="6">
        <f>F345/E345</f>
        <v>0.77307519135524538</v>
      </c>
      <c r="K345" s="6">
        <f>G345/E345</f>
        <v>2.4651058081945069E-2</v>
      </c>
      <c r="L345" s="6">
        <f>H345/E345</f>
        <v>8.5547050877982887E-3</v>
      </c>
      <c r="M345" t="str">
        <f>IF(G345/E345&gt;0.06,"High Risk","Normal")</f>
        <v>Normal</v>
      </c>
    </row>
    <row r="346" spans="1:13" x14ac:dyDescent="0.3">
      <c r="A346" t="s">
        <v>38</v>
      </c>
      <c r="B346" t="s">
        <v>46</v>
      </c>
      <c r="C346" s="4">
        <v>46002</v>
      </c>
      <c r="D346" t="s">
        <v>25</v>
      </c>
      <c r="E346">
        <v>10930</v>
      </c>
      <c r="F346">
        <v>8979</v>
      </c>
      <c r="G346">
        <v>658</v>
      </c>
      <c r="H346">
        <v>215</v>
      </c>
      <c r="I346">
        <f>Table2[[#This Row],[Total_Units]]-Table2[[#This Row],[Successful_Output]]-Table2[[#This Row],[Mortality_Count]]-Table2[[#This Row],[Contamination_Count]]</f>
        <v>1078</v>
      </c>
      <c r="J346" s="6">
        <f>F346/E346</f>
        <v>0.82150045745654166</v>
      </c>
      <c r="K346" s="6">
        <f>G346/E346</f>
        <v>6.0201280878316561E-2</v>
      </c>
      <c r="L346" s="6">
        <f>H346/E346</f>
        <v>1.9670631290027447E-2</v>
      </c>
      <c r="M346" t="str">
        <f>IF(G346/E346&gt;0.06,"High Risk","Normal")</f>
        <v>High Risk</v>
      </c>
    </row>
    <row r="347" spans="1:13" x14ac:dyDescent="0.3">
      <c r="A347" t="s">
        <v>38</v>
      </c>
      <c r="B347" t="s">
        <v>52</v>
      </c>
      <c r="C347" s="4">
        <v>46003</v>
      </c>
      <c r="D347" t="s">
        <v>25</v>
      </c>
      <c r="E347">
        <v>9538</v>
      </c>
      <c r="F347">
        <v>7699</v>
      </c>
      <c r="G347">
        <v>533</v>
      </c>
      <c r="H347">
        <v>89</v>
      </c>
      <c r="I347">
        <f>Table2[[#This Row],[Total_Units]]-Table2[[#This Row],[Successful_Output]]-Table2[[#This Row],[Mortality_Count]]-Table2[[#This Row],[Contamination_Count]]</f>
        <v>1217</v>
      </c>
      <c r="J347" s="6">
        <f>F347/E347</f>
        <v>0.80719228349758865</v>
      </c>
      <c r="K347" s="6">
        <f>G347/E347</f>
        <v>5.5881736213042564E-2</v>
      </c>
      <c r="L347" s="6">
        <f>H347/E347</f>
        <v>9.3310966659677086E-3</v>
      </c>
      <c r="M347" t="str">
        <f>IF(G347/E347&gt;0.06,"High Risk","Normal")</f>
        <v>Normal</v>
      </c>
    </row>
    <row r="348" spans="1:13" x14ac:dyDescent="0.3">
      <c r="A348" t="s">
        <v>38</v>
      </c>
      <c r="B348" t="s">
        <v>47</v>
      </c>
      <c r="C348" s="4">
        <v>46004</v>
      </c>
      <c r="D348" t="s">
        <v>25</v>
      </c>
      <c r="E348">
        <v>10487</v>
      </c>
      <c r="F348">
        <v>8382</v>
      </c>
      <c r="G348">
        <v>329</v>
      </c>
      <c r="H348">
        <v>192</v>
      </c>
      <c r="I348">
        <f>Table2[[#This Row],[Total_Units]]-Table2[[#This Row],[Successful_Output]]-Table2[[#This Row],[Mortality_Count]]-Table2[[#This Row],[Contamination_Count]]</f>
        <v>1584</v>
      </c>
      <c r="J348" s="6">
        <f>F348/E348</f>
        <v>0.79927529322017732</v>
      </c>
      <c r="K348" s="6">
        <f>G348/E348</f>
        <v>3.1372175073901019E-2</v>
      </c>
      <c r="L348" s="6">
        <f>H348/E348</f>
        <v>1.830838180604558E-2</v>
      </c>
      <c r="M348" t="str">
        <f>IF(G348/E348&gt;0.06,"High Risk","Normal")</f>
        <v>Normal</v>
      </c>
    </row>
    <row r="349" spans="1:13" x14ac:dyDescent="0.3">
      <c r="A349" t="s">
        <v>38</v>
      </c>
      <c r="B349" t="s">
        <v>48</v>
      </c>
      <c r="C349" s="4">
        <v>46005</v>
      </c>
      <c r="D349" t="s">
        <v>25</v>
      </c>
      <c r="E349">
        <v>8437</v>
      </c>
      <c r="F349">
        <v>7230</v>
      </c>
      <c r="G349">
        <v>337</v>
      </c>
      <c r="H349">
        <v>135</v>
      </c>
      <c r="I349">
        <f>Table2[[#This Row],[Total_Units]]-Table2[[#This Row],[Successful_Output]]-Table2[[#This Row],[Mortality_Count]]-Table2[[#This Row],[Contamination_Count]]</f>
        <v>735</v>
      </c>
      <c r="J349" s="6">
        <f>F349/E349</f>
        <v>0.85693967049899256</v>
      </c>
      <c r="K349" s="6">
        <f>G349/E349</f>
        <v>3.994310773971791E-2</v>
      </c>
      <c r="L349" s="6">
        <f>H349/E349</f>
        <v>1.6000948204338034E-2</v>
      </c>
      <c r="M349" t="str">
        <f>IF(G349/E349&gt;0.06,"High Risk","Normal")</f>
        <v>Normal</v>
      </c>
    </row>
    <row r="350" spans="1:13" x14ac:dyDescent="0.3">
      <c r="A350" t="s">
        <v>38</v>
      </c>
      <c r="B350" t="s">
        <v>54</v>
      </c>
      <c r="C350" s="4">
        <v>46006</v>
      </c>
      <c r="D350" t="s">
        <v>25</v>
      </c>
      <c r="E350">
        <v>10761</v>
      </c>
      <c r="F350">
        <v>9656</v>
      </c>
      <c r="G350">
        <v>253</v>
      </c>
      <c r="H350">
        <v>113</v>
      </c>
      <c r="I350">
        <f>Table2[[#This Row],[Total_Units]]-Table2[[#This Row],[Successful_Output]]-Table2[[#This Row],[Mortality_Count]]-Table2[[#This Row],[Contamination_Count]]</f>
        <v>739</v>
      </c>
      <c r="J350" s="6">
        <f>F350/E350</f>
        <v>0.89731437598736175</v>
      </c>
      <c r="K350" s="6">
        <f>G350/E350</f>
        <v>2.3510826131400427E-2</v>
      </c>
      <c r="L350" s="6">
        <f>H350/E350</f>
        <v>1.0500882817582009E-2</v>
      </c>
      <c r="M350" t="str">
        <f>IF(G350/E350&gt;0.06,"High Risk","Normal")</f>
        <v>Normal</v>
      </c>
    </row>
    <row r="351" spans="1:13" x14ac:dyDescent="0.3">
      <c r="A351" t="s">
        <v>38</v>
      </c>
      <c r="B351" t="s">
        <v>58</v>
      </c>
      <c r="C351" s="4">
        <v>46007</v>
      </c>
      <c r="D351" t="s">
        <v>25</v>
      </c>
      <c r="E351">
        <v>11496</v>
      </c>
      <c r="F351">
        <v>8867</v>
      </c>
      <c r="G351">
        <v>303</v>
      </c>
      <c r="H351">
        <v>110</v>
      </c>
      <c r="I351">
        <f>Table2[[#This Row],[Total_Units]]-Table2[[#This Row],[Successful_Output]]-Table2[[#This Row],[Mortality_Count]]-Table2[[#This Row],[Contamination_Count]]</f>
        <v>2216</v>
      </c>
      <c r="J351" s="6">
        <f>F351/E351</f>
        <v>0.77131176061238693</v>
      </c>
      <c r="K351" s="6">
        <f>G351/E351</f>
        <v>2.6356993736951984E-2</v>
      </c>
      <c r="L351" s="6">
        <f>H351/E351</f>
        <v>9.5685455810716764E-3</v>
      </c>
      <c r="M351" t="str">
        <f>IF(G351/E351&gt;0.06,"High Risk","Normal")</f>
        <v>Normal</v>
      </c>
    </row>
    <row r="352" spans="1:13" x14ac:dyDescent="0.3">
      <c r="A352" t="s">
        <v>38</v>
      </c>
      <c r="B352" t="s">
        <v>59</v>
      </c>
      <c r="C352" s="4">
        <v>46008</v>
      </c>
      <c r="D352" t="s">
        <v>25</v>
      </c>
      <c r="E352">
        <v>9813</v>
      </c>
      <c r="F352">
        <v>7852</v>
      </c>
      <c r="G352">
        <v>401</v>
      </c>
      <c r="H352">
        <v>217</v>
      </c>
      <c r="I352">
        <f>Table2[[#This Row],[Total_Units]]-Table2[[#This Row],[Successful_Output]]-Table2[[#This Row],[Mortality_Count]]-Table2[[#This Row],[Contamination_Count]]</f>
        <v>1343</v>
      </c>
      <c r="J352" s="6">
        <f>F352/E352</f>
        <v>0.80016304901661062</v>
      </c>
      <c r="K352" s="6">
        <f>G352/E352</f>
        <v>4.0864159788036279E-2</v>
      </c>
      <c r="L352" s="6">
        <f>H352/E352</f>
        <v>2.2113522877815144E-2</v>
      </c>
      <c r="M352" t="str">
        <f>IF(G352/E352&gt;0.06,"High Risk","Normal")</f>
        <v>Normal</v>
      </c>
    </row>
    <row r="353" spans="1:13" x14ac:dyDescent="0.3">
      <c r="A353" t="s">
        <v>38</v>
      </c>
      <c r="B353" t="s">
        <v>56</v>
      </c>
      <c r="C353" s="4">
        <v>46009</v>
      </c>
      <c r="D353" t="s">
        <v>25</v>
      </c>
      <c r="E353">
        <v>11958</v>
      </c>
      <c r="F353">
        <v>10590</v>
      </c>
      <c r="G353">
        <v>732</v>
      </c>
      <c r="H353">
        <v>339</v>
      </c>
      <c r="I353">
        <f>Table2[[#This Row],[Total_Units]]-Table2[[#This Row],[Successful_Output]]-Table2[[#This Row],[Mortality_Count]]-Table2[[#This Row],[Contamination_Count]]</f>
        <v>297</v>
      </c>
      <c r="J353" s="6">
        <f>F353/E353</f>
        <v>0.88559959859508275</v>
      </c>
      <c r="K353" s="6">
        <f>G353/E353</f>
        <v>6.1214249874560964E-2</v>
      </c>
      <c r="L353" s="6">
        <f>H353/E353</f>
        <v>2.8349222277972905E-2</v>
      </c>
      <c r="M353" t="str">
        <f>IF(G353/E353&gt;0.06,"High Risk","Normal")</f>
        <v>High Risk</v>
      </c>
    </row>
    <row r="354" spans="1:13" x14ac:dyDescent="0.3">
      <c r="A354" t="s">
        <v>38</v>
      </c>
      <c r="B354" t="s">
        <v>60</v>
      </c>
      <c r="C354" s="4">
        <v>46010</v>
      </c>
      <c r="D354" t="s">
        <v>25</v>
      </c>
      <c r="E354">
        <v>11491</v>
      </c>
      <c r="F354">
        <v>9359</v>
      </c>
      <c r="G354">
        <v>401</v>
      </c>
      <c r="H354">
        <v>83</v>
      </c>
      <c r="I354">
        <f>Table2[[#This Row],[Total_Units]]-Table2[[#This Row],[Successful_Output]]-Table2[[#This Row],[Mortality_Count]]-Table2[[#This Row],[Contamination_Count]]</f>
        <v>1648</v>
      </c>
      <c r="J354" s="6">
        <f>F354/E354</f>
        <v>0.8144634931685667</v>
      </c>
      <c r="K354" s="6">
        <f>G354/E354</f>
        <v>3.4896875815855891E-2</v>
      </c>
      <c r="L354" s="6">
        <f>H354/E354</f>
        <v>7.2230441214863805E-3</v>
      </c>
      <c r="M354" t="str">
        <f>IF(G354/E354&gt;0.06,"High Risk","Normal")</f>
        <v>Normal</v>
      </c>
    </row>
    <row r="355" spans="1:13" x14ac:dyDescent="0.3">
      <c r="A355" t="s">
        <v>38</v>
      </c>
      <c r="B355" t="s">
        <v>61</v>
      </c>
      <c r="C355" s="4">
        <v>46011</v>
      </c>
      <c r="D355" t="s">
        <v>25</v>
      </c>
      <c r="E355">
        <v>11346</v>
      </c>
      <c r="F355">
        <v>9996</v>
      </c>
      <c r="G355">
        <v>684</v>
      </c>
      <c r="H355">
        <v>191</v>
      </c>
      <c r="I355">
        <f>Table2[[#This Row],[Total_Units]]-Table2[[#This Row],[Successful_Output]]-Table2[[#This Row],[Mortality_Count]]-Table2[[#This Row],[Contamination_Count]]</f>
        <v>475</v>
      </c>
      <c r="J355" s="6">
        <f>F355/E355</f>
        <v>0.88101533580116342</v>
      </c>
      <c r="K355" s="6">
        <f>G355/E355</f>
        <v>6.0285563194077206E-2</v>
      </c>
      <c r="L355" s="6">
        <f>H355/E355</f>
        <v>1.6834126564427992E-2</v>
      </c>
      <c r="M355" t="str">
        <f>IF(G355/E355&gt;0.06,"High Risk","Normal")</f>
        <v>High Risk</v>
      </c>
    </row>
    <row r="356" spans="1:13" x14ac:dyDescent="0.3">
      <c r="A356" t="s">
        <v>38</v>
      </c>
      <c r="B356" t="s">
        <v>57</v>
      </c>
      <c r="C356" s="4">
        <v>46012</v>
      </c>
      <c r="D356" t="s">
        <v>25</v>
      </c>
      <c r="E356">
        <v>8250</v>
      </c>
      <c r="F356">
        <v>6554</v>
      </c>
      <c r="G356">
        <v>362</v>
      </c>
      <c r="H356">
        <v>58</v>
      </c>
      <c r="I356">
        <f>Table2[[#This Row],[Total_Units]]-Table2[[#This Row],[Successful_Output]]-Table2[[#This Row],[Mortality_Count]]-Table2[[#This Row],[Contamination_Count]]</f>
        <v>1276</v>
      </c>
      <c r="J356" s="6">
        <f>F356/E356</f>
        <v>0.79442424242424248</v>
      </c>
      <c r="K356" s="6">
        <f>G356/E356</f>
        <v>4.3878787878787878E-2</v>
      </c>
      <c r="L356" s="6">
        <f>H356/E356</f>
        <v>7.0303030303030299E-3</v>
      </c>
      <c r="M356" t="str">
        <f>IF(G356/E356&gt;0.06,"High Risk","Normal")</f>
        <v>Normal</v>
      </c>
    </row>
    <row r="357" spans="1:13" x14ac:dyDescent="0.3">
      <c r="A357" t="s">
        <v>38</v>
      </c>
      <c r="B357" t="s">
        <v>62</v>
      </c>
      <c r="C357" s="4">
        <v>46013</v>
      </c>
      <c r="D357" t="s">
        <v>25</v>
      </c>
      <c r="E357">
        <v>11680</v>
      </c>
      <c r="F357">
        <v>10004</v>
      </c>
      <c r="G357">
        <v>794</v>
      </c>
      <c r="H357">
        <v>347</v>
      </c>
      <c r="I357">
        <f>Table2[[#This Row],[Total_Units]]-Table2[[#This Row],[Successful_Output]]-Table2[[#This Row],[Mortality_Count]]-Table2[[#This Row],[Contamination_Count]]</f>
        <v>535</v>
      </c>
      <c r="J357" s="6">
        <f>F357/E357</f>
        <v>0.85650684931506849</v>
      </c>
      <c r="K357" s="6">
        <f>G357/E357</f>
        <v>6.7979452054794526E-2</v>
      </c>
      <c r="L357" s="6">
        <f>H357/E357</f>
        <v>2.970890410958904E-2</v>
      </c>
      <c r="M357" t="str">
        <f>IF(G357/E357&gt;0.06,"High Risk","Normal")</f>
        <v>High Risk</v>
      </c>
    </row>
    <row r="358" spans="1:13" x14ac:dyDescent="0.3">
      <c r="A358" t="s">
        <v>38</v>
      </c>
      <c r="B358" t="s">
        <v>63</v>
      </c>
      <c r="C358" s="4">
        <v>46014</v>
      </c>
      <c r="D358" t="s">
        <v>25</v>
      </c>
      <c r="E358">
        <v>10836</v>
      </c>
      <c r="F358">
        <v>8167</v>
      </c>
      <c r="G358">
        <v>270</v>
      </c>
      <c r="H358">
        <v>314</v>
      </c>
      <c r="I358">
        <f>Table2[[#This Row],[Total_Units]]-Table2[[#This Row],[Successful_Output]]-Table2[[#This Row],[Mortality_Count]]-Table2[[#This Row],[Contamination_Count]]</f>
        <v>2085</v>
      </c>
      <c r="J358" s="6">
        <f>F358/E358</f>
        <v>0.7536913990402363</v>
      </c>
      <c r="K358" s="6">
        <f>G358/E358</f>
        <v>2.4916943521594685E-2</v>
      </c>
      <c r="L358" s="6">
        <f>H358/E358</f>
        <v>2.8977482465854559E-2</v>
      </c>
      <c r="M358" t="str">
        <f>IF(G358/E358&gt;0.06,"High Risk","Normal")</f>
        <v>Normal</v>
      </c>
    </row>
    <row r="359" spans="1:13" x14ac:dyDescent="0.3">
      <c r="A359" t="s">
        <v>38</v>
      </c>
      <c r="B359" t="s">
        <v>55</v>
      </c>
      <c r="C359" s="4">
        <v>46015</v>
      </c>
      <c r="D359" t="s">
        <v>25</v>
      </c>
      <c r="E359">
        <v>10917</v>
      </c>
      <c r="F359">
        <v>9493</v>
      </c>
      <c r="G359">
        <v>519</v>
      </c>
      <c r="H359">
        <v>232</v>
      </c>
      <c r="I359">
        <f>Table2[[#This Row],[Total_Units]]-Table2[[#This Row],[Successful_Output]]-Table2[[#This Row],[Mortality_Count]]-Table2[[#This Row],[Contamination_Count]]</f>
        <v>673</v>
      </c>
      <c r="J359" s="6">
        <f>F359/E359</f>
        <v>0.86956123477145741</v>
      </c>
      <c r="K359" s="6">
        <f>G359/E359</f>
        <v>4.7540533113492718E-2</v>
      </c>
      <c r="L359" s="6">
        <f>H359/E359</f>
        <v>2.1251259503526611E-2</v>
      </c>
      <c r="M359" t="str">
        <f>IF(G359/E359&gt;0.06,"High Risk","Normal")</f>
        <v>Normal</v>
      </c>
    </row>
    <row r="360" spans="1:13" x14ac:dyDescent="0.3">
      <c r="A360" t="s">
        <v>38</v>
      </c>
      <c r="B360" t="s">
        <v>64</v>
      </c>
      <c r="C360" s="4">
        <v>46016</v>
      </c>
      <c r="D360" t="s">
        <v>25</v>
      </c>
      <c r="E360">
        <v>9368</v>
      </c>
      <c r="F360">
        <v>8127</v>
      </c>
      <c r="G360">
        <v>290</v>
      </c>
      <c r="H360">
        <v>211</v>
      </c>
      <c r="I360">
        <f>Table2[[#This Row],[Total_Units]]-Table2[[#This Row],[Successful_Output]]-Table2[[#This Row],[Mortality_Count]]-Table2[[#This Row],[Contamination_Count]]</f>
        <v>740</v>
      </c>
      <c r="J360" s="6">
        <f>F360/E360</f>
        <v>0.86752775405636207</v>
      </c>
      <c r="K360" s="6">
        <f>G360/E360</f>
        <v>3.0956447480785652E-2</v>
      </c>
      <c r="L360" s="6">
        <f>H360/E360</f>
        <v>2.2523484201537148E-2</v>
      </c>
      <c r="M360" t="str">
        <f>IF(G360/E360&gt;0.06,"High Risk","Normal")</f>
        <v>Normal</v>
      </c>
    </row>
    <row r="361" spans="1:13" x14ac:dyDescent="0.3">
      <c r="A361" t="s">
        <v>38</v>
      </c>
      <c r="B361" t="s">
        <v>65</v>
      </c>
      <c r="C361" s="4">
        <v>46017</v>
      </c>
      <c r="D361" t="s">
        <v>25</v>
      </c>
      <c r="E361">
        <v>9007</v>
      </c>
      <c r="F361">
        <v>6893</v>
      </c>
      <c r="G361">
        <v>427</v>
      </c>
      <c r="H361">
        <v>76</v>
      </c>
      <c r="I361">
        <f>Table2[[#This Row],[Total_Units]]-Table2[[#This Row],[Successful_Output]]-Table2[[#This Row],[Mortality_Count]]-Table2[[#This Row],[Contamination_Count]]</f>
        <v>1611</v>
      </c>
      <c r="J361" s="6">
        <f>F361/E361</f>
        <v>0.76529366048628844</v>
      </c>
      <c r="K361" s="6">
        <f>G361/E361</f>
        <v>4.740757188853114E-2</v>
      </c>
      <c r="L361" s="6">
        <f>H361/E361</f>
        <v>8.4378816476074169E-3</v>
      </c>
      <c r="M361" t="str">
        <f>IF(G361/E361&gt;0.06,"High Risk","Normal")</f>
        <v>Normal</v>
      </c>
    </row>
    <row r="362" spans="1:13" x14ac:dyDescent="0.3">
      <c r="A362" t="s">
        <v>38</v>
      </c>
      <c r="B362" t="s">
        <v>53</v>
      </c>
      <c r="C362" s="4">
        <v>46018</v>
      </c>
      <c r="D362" t="s">
        <v>25</v>
      </c>
      <c r="E362">
        <v>10694</v>
      </c>
      <c r="F362">
        <v>9114</v>
      </c>
      <c r="G362">
        <v>258</v>
      </c>
      <c r="H362">
        <v>68</v>
      </c>
      <c r="I362">
        <f>Table2[[#This Row],[Total_Units]]-Table2[[#This Row],[Successful_Output]]-Table2[[#This Row],[Mortality_Count]]-Table2[[#This Row],[Contamination_Count]]</f>
        <v>1254</v>
      </c>
      <c r="J362" s="6">
        <f>F362/E362</f>
        <v>0.8522536001496166</v>
      </c>
      <c r="K362" s="6">
        <f>G362/E362</f>
        <v>2.4125677950252479E-2</v>
      </c>
      <c r="L362" s="6">
        <f>H362/E362</f>
        <v>6.3587058163456145E-3</v>
      </c>
      <c r="M362" t="str">
        <f>IF(G362/E362&gt;0.06,"High Risk","Normal")</f>
        <v>Normal</v>
      </c>
    </row>
    <row r="363" spans="1:13" x14ac:dyDescent="0.3">
      <c r="A363" t="s">
        <v>38</v>
      </c>
      <c r="B363" t="s">
        <v>66</v>
      </c>
      <c r="C363" s="4">
        <v>46019</v>
      </c>
      <c r="D363" t="s">
        <v>25</v>
      </c>
      <c r="E363">
        <v>10859</v>
      </c>
      <c r="F363">
        <v>9686</v>
      </c>
      <c r="G363">
        <v>350</v>
      </c>
      <c r="H363">
        <v>63</v>
      </c>
      <c r="I363">
        <f>Table2[[#This Row],[Total_Units]]-Table2[[#This Row],[Successful_Output]]-Table2[[#This Row],[Mortality_Count]]-Table2[[#This Row],[Contamination_Count]]</f>
        <v>760</v>
      </c>
      <c r="J363" s="6">
        <f>F363/E363</f>
        <v>0.89197900359149096</v>
      </c>
      <c r="K363" s="6">
        <f>G363/E363</f>
        <v>3.2231328851643801E-2</v>
      </c>
      <c r="L363" s="6">
        <f>H363/E363</f>
        <v>5.8016391932958836E-3</v>
      </c>
      <c r="M363" t="str">
        <f>IF(G363/E363&gt;0.06,"High Risk","Normal")</f>
        <v>Normal</v>
      </c>
    </row>
    <row r="364" spans="1:13" x14ac:dyDescent="0.3">
      <c r="A364" t="s">
        <v>38</v>
      </c>
      <c r="B364" t="s">
        <v>67</v>
      </c>
      <c r="C364" s="4">
        <v>46020</v>
      </c>
      <c r="D364" t="s">
        <v>25</v>
      </c>
      <c r="E364">
        <v>11048</v>
      </c>
      <c r="F364">
        <v>10055</v>
      </c>
      <c r="G364">
        <v>257</v>
      </c>
      <c r="H364">
        <v>292</v>
      </c>
      <c r="I364">
        <f>Table2[[#This Row],[Total_Units]]-Table2[[#This Row],[Successful_Output]]-Table2[[#This Row],[Mortality_Count]]-Table2[[#This Row],[Contamination_Count]]</f>
        <v>444</v>
      </c>
      <c r="J364" s="6">
        <f>F364/E364</f>
        <v>0.9101194786386676</v>
      </c>
      <c r="K364" s="6">
        <f>G364/E364</f>
        <v>2.3262128892107169E-2</v>
      </c>
      <c r="L364" s="6">
        <f>H364/E364</f>
        <v>2.6430123099203475E-2</v>
      </c>
      <c r="M364" t="str">
        <f>IF(G364/E364&gt;0.06,"High Risk","Normal")</f>
        <v>Normal</v>
      </c>
    </row>
    <row r="365" spans="1:13" x14ac:dyDescent="0.3">
      <c r="A365" t="s">
        <v>38</v>
      </c>
      <c r="B365" t="s">
        <v>68</v>
      </c>
      <c r="C365" s="4">
        <v>46021</v>
      </c>
      <c r="D365" t="s">
        <v>25</v>
      </c>
      <c r="E365">
        <v>11524</v>
      </c>
      <c r="F365">
        <v>10597</v>
      </c>
      <c r="G365">
        <v>672</v>
      </c>
      <c r="H365">
        <v>62</v>
      </c>
      <c r="I365">
        <f>Table2[[#This Row],[Total_Units]]-Table2[[#This Row],[Successful_Output]]-Table2[[#This Row],[Mortality_Count]]-Table2[[#This Row],[Contamination_Count]]</f>
        <v>193</v>
      </c>
      <c r="J365" s="6">
        <f>F365/E365</f>
        <v>0.91955918083998611</v>
      </c>
      <c r="K365" s="6">
        <f>G365/E365</f>
        <v>5.8313085734120099E-2</v>
      </c>
      <c r="L365" s="6">
        <f>H365/E365</f>
        <v>5.3800763623741759E-3</v>
      </c>
      <c r="M365" t="str">
        <f>IF(G365/E365&gt;0.06,"High Risk","Normal")</f>
        <v>Normal</v>
      </c>
    </row>
    <row r="366" spans="1:13" x14ac:dyDescent="0.3">
      <c r="A366" t="s">
        <v>38</v>
      </c>
      <c r="B366" t="s">
        <v>69</v>
      </c>
      <c r="C366" s="4">
        <v>46022</v>
      </c>
      <c r="D366" t="s">
        <v>25</v>
      </c>
      <c r="E366">
        <v>9785</v>
      </c>
      <c r="F366">
        <v>7588</v>
      </c>
      <c r="G366">
        <v>577</v>
      </c>
      <c r="H366">
        <v>121</v>
      </c>
      <c r="I366">
        <f>Table2[[#This Row],[Total_Units]]-Table2[[#This Row],[Successful_Output]]-Table2[[#This Row],[Mortality_Count]]-Table2[[#This Row],[Contamination_Count]]</f>
        <v>1499</v>
      </c>
      <c r="J366" s="6">
        <f>F366/E366</f>
        <v>0.77547266223811961</v>
      </c>
      <c r="K366" s="6">
        <f>G366/E366</f>
        <v>5.8967807869187532E-2</v>
      </c>
      <c r="L366" s="6">
        <f>H366/E366</f>
        <v>1.2365866121614716E-2</v>
      </c>
      <c r="M366" t="str">
        <f>IF(G366/E366&gt;0.06,"High Risk","Normal")</f>
        <v>Normal</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21E3-2809-4186-81ED-311498C66146}">
  <dimension ref="A3:C80"/>
  <sheetViews>
    <sheetView topLeftCell="A58" workbookViewId="0">
      <selection activeCell="C80" sqref="C80"/>
    </sheetView>
  </sheetViews>
  <sheetFormatPr defaultRowHeight="14.4" x14ac:dyDescent="0.3"/>
  <cols>
    <col min="1" max="2" width="17.77734375" bestFit="1" customWidth="1"/>
    <col min="3" max="3" width="25.109375" bestFit="1" customWidth="1"/>
    <col min="4" max="4" width="5.88671875" bestFit="1" customWidth="1"/>
    <col min="5" max="5" width="5" bestFit="1" customWidth="1"/>
    <col min="6" max="7" width="4.88671875" bestFit="1" customWidth="1"/>
    <col min="8" max="8" width="5" bestFit="1" customWidth="1"/>
    <col min="9" max="10" width="4.88671875" bestFit="1" customWidth="1"/>
    <col min="11" max="11" width="5" bestFit="1" customWidth="1"/>
    <col min="12" max="13" width="4.88671875" bestFit="1" customWidth="1"/>
    <col min="14" max="14" width="5" bestFit="1" customWidth="1"/>
    <col min="15" max="16" width="4.88671875" bestFit="1" customWidth="1"/>
    <col min="17" max="17" width="5" bestFit="1" customWidth="1"/>
    <col min="18" max="19" width="4.88671875" bestFit="1" customWidth="1"/>
    <col min="20" max="20" width="5" bestFit="1" customWidth="1"/>
    <col min="21" max="22" width="4.88671875" bestFit="1" customWidth="1"/>
    <col min="23" max="23" width="5" bestFit="1" customWidth="1"/>
    <col min="24" max="25" width="4.88671875" bestFit="1" customWidth="1"/>
    <col min="26" max="26" width="5" bestFit="1" customWidth="1"/>
    <col min="27" max="28" width="4.88671875" bestFit="1" customWidth="1"/>
    <col min="29" max="29" width="5" bestFit="1" customWidth="1"/>
    <col min="30" max="31" width="4.88671875" bestFit="1" customWidth="1"/>
    <col min="32" max="32" width="8.21875" bestFit="1" customWidth="1"/>
    <col min="33" max="33" width="10.77734375" bestFit="1" customWidth="1"/>
  </cols>
  <sheetData>
    <row r="3" spans="1:3" x14ac:dyDescent="0.3">
      <c r="A3" s="1" t="s">
        <v>10</v>
      </c>
      <c r="B3" t="s">
        <v>72</v>
      </c>
      <c r="C3" t="s">
        <v>73</v>
      </c>
    </row>
    <row r="4" spans="1:3" x14ac:dyDescent="0.3">
      <c r="A4" s="2" t="s">
        <v>14</v>
      </c>
      <c r="B4" s="3">
        <v>1.7529410229139015</v>
      </c>
      <c r="C4" s="3">
        <v>0.58550284323467661</v>
      </c>
    </row>
    <row r="5" spans="1:3" x14ac:dyDescent="0.3">
      <c r="A5" s="2" t="s">
        <v>15</v>
      </c>
      <c r="B5" s="3">
        <v>1.4099981641823307</v>
      </c>
      <c r="C5" s="3">
        <v>0.47000027750578149</v>
      </c>
    </row>
    <row r="6" spans="1:3" x14ac:dyDescent="0.3">
      <c r="A6" s="2" t="s">
        <v>16</v>
      </c>
      <c r="B6" s="3">
        <v>1.5507783473018688</v>
      </c>
      <c r="C6" s="3">
        <v>0.55533797579929334</v>
      </c>
    </row>
    <row r="7" spans="1:3" x14ac:dyDescent="0.3">
      <c r="A7" s="2" t="s">
        <v>17</v>
      </c>
      <c r="B7" s="3">
        <v>1.4850397906900392</v>
      </c>
      <c r="C7" s="3">
        <v>0.52185476347824444</v>
      </c>
    </row>
    <row r="8" spans="1:3" x14ac:dyDescent="0.3">
      <c r="A8" s="2" t="s">
        <v>18</v>
      </c>
      <c r="B8" s="3">
        <v>1.4583182137625748</v>
      </c>
      <c r="C8" s="3">
        <v>0.58502387496097119</v>
      </c>
    </row>
    <row r="9" spans="1:3" x14ac:dyDescent="0.3">
      <c r="A9" s="2" t="s">
        <v>19</v>
      </c>
      <c r="B9" s="3">
        <v>1.6508901006976364</v>
      </c>
      <c r="C9" s="3">
        <v>0.50192322846811455</v>
      </c>
    </row>
    <row r="10" spans="1:3" x14ac:dyDescent="0.3">
      <c r="A10" s="2" t="s">
        <v>20</v>
      </c>
      <c r="B10" s="3">
        <v>1.553381089048222</v>
      </c>
      <c r="C10" s="3">
        <v>0.60196906159544616</v>
      </c>
    </row>
    <row r="11" spans="1:3" x14ac:dyDescent="0.3">
      <c r="A11" s="2" t="s">
        <v>21</v>
      </c>
      <c r="B11" s="3">
        <v>1.3769433194531278</v>
      </c>
      <c r="C11" s="3">
        <v>0.54801845813627015</v>
      </c>
    </row>
    <row r="12" spans="1:3" x14ac:dyDescent="0.3">
      <c r="A12" s="2" t="s">
        <v>22</v>
      </c>
      <c r="B12" s="3">
        <v>1.5663404924305737</v>
      </c>
      <c r="C12" s="3">
        <v>0.4903166283466962</v>
      </c>
    </row>
    <row r="13" spans="1:3" x14ac:dyDescent="0.3">
      <c r="A13" s="2" t="s">
        <v>23</v>
      </c>
      <c r="B13" s="3">
        <v>1.6658340984540743</v>
      </c>
      <c r="C13" s="3">
        <v>0.51296489915493315</v>
      </c>
    </row>
    <row r="14" spans="1:3" x14ac:dyDescent="0.3">
      <c r="A14" s="2" t="s">
        <v>24</v>
      </c>
      <c r="B14" s="3">
        <v>1.5921322276357159</v>
      </c>
      <c r="C14" s="3">
        <v>0.54055963200177537</v>
      </c>
    </row>
    <row r="15" spans="1:3" x14ac:dyDescent="0.3">
      <c r="A15" s="2" t="s">
        <v>25</v>
      </c>
      <c r="B15" s="3">
        <v>1.3437986266113469</v>
      </c>
      <c r="C15" s="3">
        <v>0.51222558104988503</v>
      </c>
    </row>
    <row r="16" spans="1:3" x14ac:dyDescent="0.3">
      <c r="A16" s="2" t="s">
        <v>11</v>
      </c>
      <c r="B16" s="3">
        <v>18.406395493181424</v>
      </c>
      <c r="C16" s="3">
        <v>6.4256972237320866</v>
      </c>
    </row>
    <row r="18" spans="1:2" x14ac:dyDescent="0.3">
      <c r="A18" s="1" t="s">
        <v>10</v>
      </c>
      <c r="B18" t="s">
        <v>12</v>
      </c>
    </row>
    <row r="19" spans="1:2" x14ac:dyDescent="0.3">
      <c r="A19" s="2" t="s">
        <v>27</v>
      </c>
      <c r="B19" s="8">
        <v>8.352869045186001E-2</v>
      </c>
    </row>
    <row r="20" spans="1:2" x14ac:dyDescent="0.3">
      <c r="A20" s="2" t="s">
        <v>36</v>
      </c>
      <c r="B20" s="8">
        <v>8.3442236611399101E-2</v>
      </c>
    </row>
    <row r="21" spans="1:2" x14ac:dyDescent="0.3">
      <c r="A21" s="2" t="s">
        <v>37</v>
      </c>
      <c r="B21" s="8">
        <v>8.1708838314762916E-2</v>
      </c>
    </row>
    <row r="22" spans="1:2" x14ac:dyDescent="0.3">
      <c r="A22" s="2" t="s">
        <v>38</v>
      </c>
      <c r="B22" s="8">
        <v>8.4851243936757026E-2</v>
      </c>
    </row>
    <row r="23" spans="1:2" x14ac:dyDescent="0.3">
      <c r="A23" s="2" t="s">
        <v>28</v>
      </c>
      <c r="B23" s="8">
        <v>7.7626972700122504E-2</v>
      </c>
    </row>
    <row r="24" spans="1:2" x14ac:dyDescent="0.3">
      <c r="A24" s="2" t="s">
        <v>29</v>
      </c>
      <c r="B24" s="8">
        <v>8.6632572121700349E-2</v>
      </c>
    </row>
    <row r="25" spans="1:2" x14ac:dyDescent="0.3">
      <c r="A25" s="2" t="s">
        <v>30</v>
      </c>
      <c r="B25" s="8">
        <v>8.2088884685393201E-2</v>
      </c>
    </row>
    <row r="26" spans="1:2" x14ac:dyDescent="0.3">
      <c r="A26" s="2" t="s">
        <v>31</v>
      </c>
      <c r="B26" s="8">
        <v>8.4521039840662671E-2</v>
      </c>
    </row>
    <row r="27" spans="1:2" x14ac:dyDescent="0.3">
      <c r="A27" s="2" t="s">
        <v>32</v>
      </c>
      <c r="B27" s="8">
        <v>8.3031480826589052E-2</v>
      </c>
    </row>
    <row r="28" spans="1:2" x14ac:dyDescent="0.3">
      <c r="A28" s="2" t="s">
        <v>33</v>
      </c>
      <c r="B28" s="8">
        <v>8.5763759495299421E-2</v>
      </c>
    </row>
    <row r="29" spans="1:2" x14ac:dyDescent="0.3">
      <c r="A29" s="2" t="s">
        <v>34</v>
      </c>
      <c r="B29" s="8">
        <v>8.4517861674540867E-2</v>
      </c>
    </row>
    <row r="30" spans="1:2" x14ac:dyDescent="0.3">
      <c r="A30" s="2" t="s">
        <v>35</v>
      </c>
      <c r="B30" s="8">
        <v>8.2286419340912673E-2</v>
      </c>
    </row>
    <row r="31" spans="1:2" x14ac:dyDescent="0.3">
      <c r="A31" s="2" t="s">
        <v>11</v>
      </c>
      <c r="B31" s="8">
        <v>1</v>
      </c>
    </row>
    <row r="34" spans="1:2" x14ac:dyDescent="0.3">
      <c r="A34" s="1" t="s">
        <v>10</v>
      </c>
      <c r="B34" t="s">
        <v>74</v>
      </c>
    </row>
    <row r="35" spans="1:2" x14ac:dyDescent="0.3">
      <c r="A35" s="2" t="s">
        <v>66</v>
      </c>
      <c r="B35" s="3">
        <v>9568</v>
      </c>
    </row>
    <row r="36" spans="1:2" x14ac:dyDescent="0.3">
      <c r="A36" s="2" t="s">
        <v>67</v>
      </c>
      <c r="B36" s="3">
        <v>10547</v>
      </c>
    </row>
    <row r="37" spans="1:2" x14ac:dyDescent="0.3">
      <c r="A37" s="2" t="s">
        <v>68</v>
      </c>
      <c r="B37" s="3">
        <v>8035</v>
      </c>
    </row>
    <row r="38" spans="1:2" x14ac:dyDescent="0.3">
      <c r="A38" s="2" t="s">
        <v>39</v>
      </c>
      <c r="B38" s="3">
        <v>11497</v>
      </c>
    </row>
    <row r="39" spans="1:2" x14ac:dyDescent="0.3">
      <c r="A39" s="2" t="s">
        <v>40</v>
      </c>
      <c r="B39" s="3">
        <v>11867</v>
      </c>
    </row>
    <row r="40" spans="1:2" x14ac:dyDescent="0.3">
      <c r="A40" s="2" t="s">
        <v>49</v>
      </c>
      <c r="B40" s="3">
        <v>12521</v>
      </c>
    </row>
    <row r="41" spans="1:2" x14ac:dyDescent="0.3">
      <c r="A41" s="2" t="s">
        <v>41</v>
      </c>
      <c r="B41" s="3">
        <v>11574</v>
      </c>
    </row>
    <row r="42" spans="1:2" x14ac:dyDescent="0.3">
      <c r="A42" s="2" t="s">
        <v>42</v>
      </c>
      <c r="B42" s="3">
        <v>12324</v>
      </c>
    </row>
    <row r="43" spans="1:2" x14ac:dyDescent="0.3">
      <c r="A43" s="2" t="s">
        <v>50</v>
      </c>
      <c r="B43" s="3">
        <v>9302</v>
      </c>
    </row>
    <row r="44" spans="1:2" x14ac:dyDescent="0.3">
      <c r="A44" s="2" t="s">
        <v>43</v>
      </c>
      <c r="B44" s="3">
        <v>8848</v>
      </c>
    </row>
    <row r="45" spans="1:2" x14ac:dyDescent="0.3">
      <c r="A45" s="2" t="s">
        <v>44</v>
      </c>
      <c r="B45" s="3">
        <v>13055</v>
      </c>
    </row>
    <row r="46" spans="1:2" x14ac:dyDescent="0.3">
      <c r="A46" s="2" t="s">
        <v>51</v>
      </c>
      <c r="B46" s="3">
        <v>13256</v>
      </c>
    </row>
    <row r="47" spans="1:2" x14ac:dyDescent="0.3">
      <c r="A47" s="2" t="s">
        <v>45</v>
      </c>
      <c r="B47" s="3">
        <v>13466</v>
      </c>
    </row>
    <row r="48" spans="1:2" x14ac:dyDescent="0.3">
      <c r="A48" s="2" t="s">
        <v>46</v>
      </c>
      <c r="B48" s="3">
        <v>14087</v>
      </c>
    </row>
    <row r="49" spans="1:2" x14ac:dyDescent="0.3">
      <c r="A49" s="2" t="s">
        <v>52</v>
      </c>
      <c r="B49" s="3">
        <v>11126</v>
      </c>
    </row>
    <row r="50" spans="1:2" x14ac:dyDescent="0.3">
      <c r="A50" s="2" t="s">
        <v>47</v>
      </c>
      <c r="B50" s="3">
        <v>10942</v>
      </c>
    </row>
    <row r="51" spans="1:2" x14ac:dyDescent="0.3">
      <c r="A51" s="2" t="s">
        <v>48</v>
      </c>
      <c r="B51" s="3">
        <v>11349</v>
      </c>
    </row>
    <row r="52" spans="1:2" x14ac:dyDescent="0.3">
      <c r="A52" s="2" t="s">
        <v>54</v>
      </c>
      <c r="B52" s="3">
        <v>9248</v>
      </c>
    </row>
    <row r="53" spans="1:2" x14ac:dyDescent="0.3">
      <c r="A53" s="2" t="s">
        <v>58</v>
      </c>
      <c r="B53" s="3">
        <v>10462</v>
      </c>
    </row>
    <row r="54" spans="1:2" x14ac:dyDescent="0.3">
      <c r="A54" s="2" t="s">
        <v>59</v>
      </c>
      <c r="B54" s="3">
        <v>10485</v>
      </c>
    </row>
    <row r="55" spans="1:2" x14ac:dyDescent="0.3">
      <c r="A55" s="2" t="s">
        <v>56</v>
      </c>
      <c r="B55" s="3">
        <v>13855</v>
      </c>
    </row>
    <row r="56" spans="1:2" x14ac:dyDescent="0.3">
      <c r="A56" s="2" t="s">
        <v>60</v>
      </c>
      <c r="B56" s="3">
        <v>15165</v>
      </c>
    </row>
    <row r="57" spans="1:2" x14ac:dyDescent="0.3">
      <c r="A57" s="2" t="s">
        <v>61</v>
      </c>
      <c r="B57" s="3">
        <v>8515</v>
      </c>
    </row>
    <row r="58" spans="1:2" x14ac:dyDescent="0.3">
      <c r="A58" s="2" t="s">
        <v>57</v>
      </c>
      <c r="B58" s="3">
        <v>11896</v>
      </c>
    </row>
    <row r="59" spans="1:2" x14ac:dyDescent="0.3">
      <c r="A59" s="2" t="s">
        <v>62</v>
      </c>
      <c r="B59" s="3">
        <v>10817</v>
      </c>
    </row>
    <row r="60" spans="1:2" x14ac:dyDescent="0.3">
      <c r="A60" s="2" t="s">
        <v>63</v>
      </c>
      <c r="B60" s="3">
        <v>16181</v>
      </c>
    </row>
    <row r="61" spans="1:2" x14ac:dyDescent="0.3">
      <c r="A61" s="2" t="s">
        <v>55</v>
      </c>
      <c r="B61" s="3">
        <v>10883</v>
      </c>
    </row>
    <row r="62" spans="1:2" x14ac:dyDescent="0.3">
      <c r="A62" s="2" t="s">
        <v>64</v>
      </c>
      <c r="B62" s="3">
        <v>11899</v>
      </c>
    </row>
    <row r="63" spans="1:2" x14ac:dyDescent="0.3">
      <c r="A63" s="2" t="s">
        <v>65</v>
      </c>
      <c r="B63" s="3">
        <v>12405</v>
      </c>
    </row>
    <row r="64" spans="1:2" x14ac:dyDescent="0.3">
      <c r="A64" s="2" t="s">
        <v>53</v>
      </c>
      <c r="B64" s="3">
        <v>8231</v>
      </c>
    </row>
    <row r="65" spans="1:3" x14ac:dyDescent="0.3">
      <c r="A65" s="2" t="s">
        <v>69</v>
      </c>
      <c r="B65" s="3">
        <v>5496</v>
      </c>
    </row>
    <row r="66" spans="1:3" x14ac:dyDescent="0.3">
      <c r="A66" s="2" t="s">
        <v>11</v>
      </c>
      <c r="B66" s="3">
        <v>348902</v>
      </c>
    </row>
    <row r="70" spans="1:3" x14ac:dyDescent="0.3">
      <c r="A70" t="s">
        <v>76</v>
      </c>
    </row>
    <row r="71" spans="1:3" x14ac:dyDescent="0.3">
      <c r="A71" s="3">
        <v>3681703</v>
      </c>
      <c r="C71">
        <f>GETPIVOTDATA("[Measures].[Sum of Total_Units]",$A$70)</f>
        <v>3681703</v>
      </c>
    </row>
    <row r="73" spans="1:3" x14ac:dyDescent="0.3">
      <c r="A73" t="s">
        <v>75</v>
      </c>
    </row>
    <row r="74" spans="1:3" x14ac:dyDescent="0.3">
      <c r="A74" s="3">
        <v>3081997</v>
      </c>
      <c r="C74">
        <f>GETPIVOTDATA("[Measures].[Sum of Successful_Output]",$A$73)</f>
        <v>3081997</v>
      </c>
    </row>
    <row r="76" spans="1:3" x14ac:dyDescent="0.3">
      <c r="A76" t="s">
        <v>12</v>
      </c>
    </row>
    <row r="77" spans="1:3" x14ac:dyDescent="0.3">
      <c r="A77" s="3">
        <v>305.61019058205432</v>
      </c>
      <c r="C77" s="5">
        <f>GETPIVOTDATA("[Measures].[Sum of Hatch_Rate]",$A$76)</f>
        <v>305.61019058205432</v>
      </c>
    </row>
    <row r="79" spans="1:3" x14ac:dyDescent="0.3">
      <c r="A79" t="s">
        <v>74</v>
      </c>
    </row>
    <row r="80" spans="1:3" x14ac:dyDescent="0.3">
      <c r="A80" s="3">
        <v>348902</v>
      </c>
      <c r="C80">
        <f>GETPIVOTDATA("[Measures].[Sum of Blast_Count]",$A$79)</f>
        <v>348902</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showGridLines="0" tabSelected="1" zoomScale="70" zoomScaleNormal="70" workbookViewId="0">
      <selection activeCell="Q4" sqref="Q4"/>
    </sheetView>
  </sheetViews>
  <sheetFormatPr defaultColWidth="12.109375" defaultRowHeight="14.4" x14ac:dyDescent="0.3"/>
  <cols>
    <col min="1" max="16384" width="12.109375" style="7"/>
  </cols>
  <sheetData>
    <row r="1" spans="1:12" ht="51" customHeight="1" x14ac:dyDescent="0.3">
      <c r="A1" s="9" t="s">
        <v>71</v>
      </c>
      <c r="B1" s="10"/>
      <c r="C1" s="10"/>
      <c r="D1" s="10"/>
      <c r="E1" s="10"/>
      <c r="F1" s="10"/>
      <c r="G1" s="10"/>
      <c r="H1" s="10"/>
      <c r="I1" s="10"/>
      <c r="J1" s="10"/>
      <c r="K1" s="10"/>
      <c r="L1" s="11"/>
    </row>
    <row r="2" spans="1:12" ht="34.200000000000003" customHeight="1" x14ac:dyDescent="0.3">
      <c r="A2" s="12"/>
      <c r="B2" s="13"/>
      <c r="C2" s="13"/>
      <c r="D2" s="13"/>
      <c r="E2" s="13"/>
      <c r="F2" s="13"/>
      <c r="G2" s="13"/>
      <c r="H2" s="13"/>
      <c r="I2" s="13"/>
      <c r="J2" s="13"/>
      <c r="K2" s="13"/>
      <c r="L2" s="14"/>
    </row>
    <row r="3" spans="1:12" ht="34.200000000000003" customHeight="1" x14ac:dyDescent="0.3">
      <c r="A3" s="12"/>
      <c r="B3" s="13"/>
      <c r="C3" s="13"/>
      <c r="D3" s="13"/>
      <c r="E3" s="13"/>
      <c r="F3" s="13"/>
      <c r="G3" s="13"/>
      <c r="H3" s="13"/>
      <c r="I3" s="13"/>
      <c r="J3" s="13"/>
      <c r="K3" s="13"/>
      <c r="L3" s="14"/>
    </row>
    <row r="4" spans="1:12" ht="34.200000000000003" customHeight="1" x14ac:dyDescent="0.3">
      <c r="A4" s="15"/>
      <c r="B4" s="16"/>
      <c r="C4" s="16"/>
      <c r="D4" s="16"/>
      <c r="E4" s="16"/>
      <c r="F4" s="16"/>
      <c r="G4" s="16"/>
      <c r="H4" s="16"/>
      <c r="I4" s="16"/>
      <c r="J4" s="16"/>
      <c r="K4" s="16"/>
      <c r="L4" s="17"/>
    </row>
    <row r="5" spans="1:12" ht="34.200000000000003" customHeight="1" x14ac:dyDescent="0.3">
      <c r="A5" s="15"/>
      <c r="B5" s="16"/>
      <c r="C5" s="16"/>
      <c r="D5" s="16"/>
      <c r="E5" s="16"/>
      <c r="F5" s="16"/>
      <c r="G5" s="16"/>
      <c r="H5" s="16"/>
      <c r="I5" s="16"/>
      <c r="J5" s="16"/>
      <c r="K5" s="16"/>
      <c r="L5" s="17"/>
    </row>
    <row r="6" spans="1:12" ht="34.200000000000003" customHeight="1" x14ac:dyDescent="0.3">
      <c r="A6" s="15"/>
      <c r="B6" s="16"/>
      <c r="C6" s="16"/>
      <c r="D6" s="16"/>
      <c r="E6" s="16"/>
      <c r="F6" s="16"/>
      <c r="G6" s="16"/>
      <c r="H6" s="16"/>
      <c r="I6" s="16"/>
      <c r="J6" s="16"/>
      <c r="K6" s="16"/>
      <c r="L6" s="17"/>
    </row>
    <row r="7" spans="1:12" ht="34.200000000000003" customHeight="1" x14ac:dyDescent="0.3">
      <c r="A7" s="18"/>
      <c r="B7" s="16"/>
      <c r="C7" s="16"/>
      <c r="D7" s="16"/>
      <c r="E7" s="16"/>
      <c r="F7" s="16"/>
      <c r="G7" s="16"/>
      <c r="H7" s="16"/>
      <c r="I7" s="16"/>
      <c r="J7" s="16"/>
      <c r="K7" s="16"/>
      <c r="L7" s="17"/>
    </row>
    <row r="8" spans="1:12" ht="34.200000000000003" customHeight="1" x14ac:dyDescent="0.3">
      <c r="A8" s="18"/>
      <c r="B8" s="19"/>
      <c r="C8" s="19"/>
      <c r="D8" s="19"/>
      <c r="E8" s="19"/>
      <c r="F8" s="16"/>
      <c r="G8" s="16"/>
      <c r="H8" s="16"/>
      <c r="I8" s="16"/>
      <c r="J8" s="16"/>
      <c r="K8" s="16"/>
      <c r="L8" s="17"/>
    </row>
    <row r="9" spans="1:12" ht="34.200000000000003" customHeight="1" x14ac:dyDescent="0.3">
      <c r="A9" s="15"/>
      <c r="B9" s="16"/>
      <c r="C9" s="16"/>
      <c r="D9" s="16"/>
      <c r="E9" s="16"/>
      <c r="F9" s="16"/>
      <c r="G9" s="16"/>
      <c r="H9" s="16"/>
      <c r="I9" s="16"/>
      <c r="J9" s="16"/>
      <c r="K9" s="16"/>
      <c r="L9" s="17"/>
    </row>
    <row r="10" spans="1:12" ht="34.200000000000003" customHeight="1" x14ac:dyDescent="0.3">
      <c r="A10" s="15"/>
      <c r="B10" s="16"/>
      <c r="C10" s="16"/>
      <c r="D10" s="16"/>
      <c r="E10" s="16"/>
      <c r="F10" s="16"/>
      <c r="G10" s="16"/>
      <c r="H10" s="16"/>
      <c r="I10" s="16"/>
      <c r="J10" s="16"/>
      <c r="K10" s="16"/>
      <c r="L10" s="17"/>
    </row>
    <row r="11" spans="1:12" ht="34.200000000000003" customHeight="1" x14ac:dyDescent="0.3">
      <c r="A11" s="15"/>
      <c r="B11" s="16"/>
      <c r="C11" s="16"/>
      <c r="D11" s="16"/>
      <c r="E11" s="16"/>
      <c r="F11" s="16"/>
      <c r="G11" s="16"/>
      <c r="H11" s="16"/>
      <c r="I11" s="16"/>
      <c r="J11" s="16"/>
      <c r="K11" s="16"/>
      <c r="L11" s="17"/>
    </row>
    <row r="12" spans="1:12" ht="34.200000000000003" customHeight="1" x14ac:dyDescent="0.3">
      <c r="A12" s="15"/>
      <c r="B12" s="16"/>
      <c r="C12" s="16"/>
      <c r="D12" s="16"/>
      <c r="E12" s="16"/>
      <c r="F12" s="16"/>
      <c r="G12" s="16"/>
      <c r="H12" s="16"/>
      <c r="I12" s="16"/>
      <c r="J12" s="16"/>
      <c r="K12" s="16"/>
      <c r="L12" s="17"/>
    </row>
    <row r="13" spans="1:12" ht="34.200000000000003" customHeight="1" x14ac:dyDescent="0.3">
      <c r="A13" s="15"/>
      <c r="B13" s="16"/>
      <c r="C13" s="16"/>
      <c r="D13" s="16"/>
      <c r="E13" s="16"/>
      <c r="F13" s="16"/>
      <c r="G13" s="16"/>
      <c r="H13" s="16"/>
      <c r="I13" s="16"/>
      <c r="J13" s="16"/>
      <c r="K13" s="16"/>
      <c r="L13" s="17"/>
    </row>
    <row r="14" spans="1:12" ht="34.200000000000003" customHeight="1" x14ac:dyDescent="0.3">
      <c r="A14" s="15"/>
      <c r="B14" s="16"/>
      <c r="C14" s="16"/>
      <c r="D14" s="16"/>
      <c r="E14" s="16"/>
      <c r="F14" s="16"/>
      <c r="G14" s="16"/>
      <c r="H14" s="16"/>
      <c r="I14" s="16"/>
      <c r="J14" s="16"/>
      <c r="K14" s="16"/>
      <c r="L14" s="17"/>
    </row>
    <row r="15" spans="1:12" ht="34.200000000000003" customHeight="1" x14ac:dyDescent="0.3">
      <c r="A15" s="15"/>
      <c r="B15" s="16"/>
      <c r="C15" s="16"/>
      <c r="D15" s="16"/>
      <c r="E15" s="16"/>
      <c r="F15" s="16"/>
      <c r="G15" s="16"/>
      <c r="H15" s="16"/>
      <c r="I15" s="16"/>
      <c r="J15" s="16"/>
      <c r="K15" s="16"/>
      <c r="L15" s="17"/>
    </row>
    <row r="16" spans="1:12" ht="34.200000000000003" customHeight="1" thickBot="1" x14ac:dyDescent="0.35">
      <c r="A16" s="20"/>
      <c r="B16" s="21"/>
      <c r="C16" s="21"/>
      <c r="D16" s="21"/>
      <c r="E16" s="21"/>
      <c r="F16" s="21"/>
      <c r="G16" s="21"/>
      <c r="H16" s="21"/>
      <c r="I16" s="21"/>
      <c r="J16" s="21"/>
      <c r="K16" s="21"/>
      <c r="L16" s="22"/>
    </row>
    <row r="17" s="7" customFormat="1" ht="34.200000000000003" customHeight="1" x14ac:dyDescent="0.3"/>
    <row r="18" s="7" customFormat="1" ht="34.200000000000003" customHeight="1" x14ac:dyDescent="0.3"/>
    <row r="19" s="7" customFormat="1" ht="34.200000000000003" customHeight="1" x14ac:dyDescent="0.3"/>
  </sheetData>
  <mergeCells count="1">
    <mergeCell ref="A1:L1"/>
  </mergeCells>
  <pageMargins left="0.11811023622047245" right="0.11811023622047245" top="0.11811023622047245" bottom="0.11811023622047245" header="0.11811023622047245" footer="0.11811023622047245"/>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Rajesh Telugu</cp:lastModifiedBy>
  <cp:lastPrinted>2026-04-27T09:09:51Z</cp:lastPrinted>
  <dcterms:created xsi:type="dcterms:W3CDTF">2026-04-27T04:49:27Z</dcterms:created>
  <dcterms:modified xsi:type="dcterms:W3CDTF">2026-04-27T09:41:42Z</dcterms:modified>
</cp:coreProperties>
</file>